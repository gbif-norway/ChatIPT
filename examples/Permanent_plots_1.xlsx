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gathy’s plot" sheetId="1" r:id="rId5"/>
    <sheet state="visible" name="Bottomless Ghaut plot" sheetId="2" r:id="rId6"/>
    <sheet state="visible" name="forgathysplotmap" sheetId="3" r:id="rId7"/>
    <sheet state="visible" name="Forgathy’s quadrats" sheetId="4" r:id="rId8"/>
    <sheet state="visible" name="bottomlessplotmap" sheetId="5" r:id="rId9"/>
    <sheet state="visible" name="Bottomless Ghaut quadrats" sheetId="6" r:id="rId10"/>
    <sheet state="visible" name="Underwood plot" sheetId="7" r:id="rId11"/>
    <sheet state="visible" name="underwoodplotmap" sheetId="8" r:id="rId12"/>
    <sheet state="visible" name="Underwood quadrats" sheetId="9" r:id="rId13"/>
    <sheet state="visible" name="data" sheetId="10" r:id="rId14"/>
  </sheets>
  <definedNames>
    <definedName hidden="1" localSheetId="0" name="_xlnm._FilterDatabase">'Forgathy’s plot'!$A$1:$AS$960</definedName>
    <definedName hidden="1" localSheetId="1" name="_xlnm._FilterDatabase">'Bottomless Ghaut plot'!$A$1:$J$1039</definedName>
    <definedName hidden="1" localSheetId="6" name="_xlnm._FilterDatabase">'Underwood plot'!$A$1:$AK$1011</definedName>
    <definedName hidden="1" localSheetId="7" name="_xlnm._FilterDatabase">underwoodplotmap!$A$1:$F$976</definedName>
  </definedNames>
  <calcPr/>
</workbook>
</file>

<file path=xl/sharedStrings.xml><?xml version="1.0" encoding="utf-8"?>
<sst xmlns="http://schemas.openxmlformats.org/spreadsheetml/2006/main" count="4579" uniqueCount="764">
  <si>
    <t>tag number</t>
  </si>
  <si>
    <t>recordedBy</t>
  </si>
  <si>
    <t>species</t>
  </si>
  <si>
    <t>scientificName</t>
  </si>
  <si>
    <t>vouchered</t>
  </si>
  <si>
    <t>date</t>
  </si>
  <si>
    <t>dbh 1</t>
  </si>
  <si>
    <t>dbh 2</t>
  </si>
  <si>
    <t>dbh 3</t>
  </si>
  <si>
    <t>notes</t>
  </si>
  <si>
    <t>vitality</t>
  </si>
  <si>
    <t>Image URL</t>
  </si>
  <si>
    <t>Link</t>
  </si>
  <si>
    <t>Thomas Heller, Lyndon John, Tavis Weekes and Calvin Fenton</t>
  </si>
  <si>
    <t>Cordia sulcata</t>
  </si>
  <si>
    <t>Cordia sulcata DC.</t>
  </si>
  <si>
    <t>Measured from uphill side top of rock</t>
  </si>
  <si>
    <t>Jodey Peyton &amp; Quentin Groom</t>
  </si>
  <si>
    <t>Coccoloba swartzii</t>
  </si>
  <si>
    <t>Coccoloba swartzii Meisn.</t>
  </si>
  <si>
    <t>Quentin Groom</t>
  </si>
  <si>
    <t>https://s3.hpc.ut.ee/plutof-public/large/4506a7f8-4a28-454f-aa04-d876202ef992.jpg</t>
  </si>
  <si>
    <t>Polygonaceae</t>
  </si>
  <si>
    <t>Coccoloba</t>
  </si>
  <si>
    <t>https://app.plutof.ut.ee/observation/view/6802001</t>
  </si>
  <si>
    <t>Species</t>
  </si>
  <si>
    <t>Forgathy’s Plot</t>
  </si>
  <si>
    <t>Permanent plot monitoring - Montserrat Centre Hills</t>
  </si>
  <si>
    <t>Saint Peter Parish, Hope Dr Flemmings</t>
  </si>
  <si>
    <t>Montserrat</t>
  </si>
  <si>
    <t>Saint Peter Parish</t>
  </si>
  <si>
    <t>SRID=4326;POINT (-62.21255801618099 16.751155576222747)</t>
  </si>
  <si>
    <t>Sofie Meeus</t>
  </si>
  <si>
    <t>2025-02-12T01:07:34Z</t>
  </si>
  <si>
    <t>https://app.plutof.ut.ee/observation/view/7386114</t>
  </si>
  <si>
    <t>2025-02-11T13:56:00Z</t>
  </si>
  <si>
    <t>Montserrat, Saint Peter Parish</t>
  </si>
  <si>
    <t>SRID=4326;POINT (-62.206555 16.7684423)</t>
  </si>
  <si>
    <t>yes</t>
  </si>
  <si>
    <t>Two trunks, both measured from at same level from uphill side</t>
  </si>
  <si>
    <t>2025-02-12T01:09:19Z</t>
  </si>
  <si>
    <t>https://app.plutof.ut.ee/observation/view/7386113</t>
  </si>
  <si>
    <t>2025-02-11T13:55:00Z</t>
  </si>
  <si>
    <t>Saint Peter Parish, Saint Peter Parish</t>
  </si>
  <si>
    <t>SRID=4326;POINT (-62.2065589 16.7684416)</t>
  </si>
  <si>
    <t>cf. Guatteria caribaea</t>
  </si>
  <si>
    <t>Damburneya coriacea</t>
  </si>
  <si>
    <t>Need herbarium specimen of flowering or ffruiting material for firm identification</t>
  </si>
  <si>
    <t>Plantae</t>
  </si>
  <si>
    <t>2025-02-11T19:51:17Z</t>
  </si>
  <si>
    <t>dead</t>
  </si>
  <si>
    <t>https://app.plutof.ut.ee/observation/view/7386105</t>
  </si>
  <si>
    <t>Kingdom</t>
  </si>
  <si>
    <t>2025-02-11T13:44:00Z</t>
  </si>
  <si>
    <t>SRID=4326;POINT (-62.2065341 16.7684393)</t>
  </si>
  <si>
    <t>Jodey Peyton</t>
  </si>
  <si>
    <t>2025-02-12T00:44:11Z</t>
  </si>
  <si>
    <t>https://app.plutof.ut.ee/observation/view/7386125</t>
  </si>
  <si>
    <t>2025-02-11T13:45:00Z</t>
  </si>
  <si>
    <t>Saint Peters</t>
  </si>
  <si>
    <t>SRID=4326;POINT (-62.20657107426059 16.768607539140405)</t>
  </si>
  <si>
    <t>Unidentified sp. 4</t>
  </si>
  <si>
    <t>Casearia decandra</t>
  </si>
  <si>
    <t>Need herbarium specimen of flowering or fruiting material for firm identification.</t>
  </si>
  <si>
    <t>2025-02-23T21:26:25Z</t>
  </si>
  <si>
    <t>https://app.plutof.ut.ee/observation/view/7386135</t>
  </si>
  <si>
    <t>Resurvey in February 2025</t>
  </si>
  <si>
    <t>tree n°25</t>
  </si>
  <si>
    <t>GPS</t>
  </si>
  <si>
    <t>SRID=4326;POINT (-62.20648558 16.76852674)</t>
  </si>
  <si>
    <t>cf. Ocotea leucoxylon</t>
  </si>
  <si>
    <t>Ocotea leucoxylon</t>
  </si>
  <si>
    <t>Need herbarium specimen of flowering or ffruiting material for firm identification.</t>
  </si>
  <si>
    <t>2025-02-12T00:44:12Z</t>
  </si>
  <si>
    <t>Lauraceae</t>
  </si>
  <si>
    <t>Ocotea</t>
  </si>
  <si>
    <t>https://app.plutof.ut.ee/observation/view/7386132</t>
  </si>
  <si>
    <t>2025-02-11T13:48:00Z</t>
  </si>
  <si>
    <t>Inga laurina</t>
  </si>
  <si>
    <t>Inga laurina (Sw.) Willd.</t>
  </si>
  <si>
    <t>half of the tree is rotten</t>
  </si>
  <si>
    <t>Fabaceae</t>
  </si>
  <si>
    <t>Inga</t>
  </si>
  <si>
    <t>https://app.plutof.ut.ee/observation/view/7386123</t>
  </si>
  <si>
    <t>2025-02-11T13:43:00Z</t>
  </si>
  <si>
    <t>SRID=4326;POINT (-62.20662488607895 16.768751330689312)</t>
  </si>
  <si>
    <t>https://app.plutof.ut.ee/observation/view/7386122</t>
  </si>
  <si>
    <t>2025-02-11T14:03:00Z</t>
  </si>
  <si>
    <t>SRID=4326;POINT (-62.20654936513137 16.768689975158097)</t>
  </si>
  <si>
    <t>Damburneya salicifolia</t>
  </si>
  <si>
    <t>Annonaceae</t>
  </si>
  <si>
    <t>Guatteria</t>
  </si>
  <si>
    <t>https://app.plutof.ut.ee/observation/view/7386124</t>
  </si>
  <si>
    <t>2025-02-11T13:41:00Z</t>
  </si>
  <si>
    <t>https://app.plutof.ut.ee/observation/view/7386130</t>
  </si>
  <si>
    <t>2025-02-11T14:04:00Z</t>
  </si>
  <si>
    <t>SRID=4326;POINT (-62.20666025771033 16.768622333199502)</t>
  </si>
  <si>
    <t>Measured below bump at 110 cm. Need herbarium specimen of flowering or ffruiting material for firm identification.</t>
  </si>
  <si>
    <t>2025-02-11T19:43:12Z</t>
  </si>
  <si>
    <t>https://app.plutof.ut.ee/observation/view/7386087</t>
  </si>
  <si>
    <t>2025-02-11T14:25:00Z</t>
  </si>
  <si>
    <t>SRID=4326;POINT (-62.2066298 16.7685853)</t>
  </si>
  <si>
    <t>Myrcia splendens</t>
  </si>
  <si>
    <t>Myrcia splendens (Sw.) DC.</t>
  </si>
  <si>
    <t>Myrtaceae</t>
  </si>
  <si>
    <t>Myrcia</t>
  </si>
  <si>
    <t>https://app.plutof.ut.ee/observation/view/7386127</t>
  </si>
  <si>
    <t>2025-02-11T13:17:00Z</t>
  </si>
  <si>
    <t>SRID=4326;POINT (-62.20650175592136 16.768602551908018)</t>
  </si>
  <si>
    <t>https://app.plutof.ut.ee/observation/view/7386102</t>
  </si>
  <si>
    <t>2025-02-11T13:21:00Z</t>
  </si>
  <si>
    <t>SRID=4326;POINT (-62.2065668 16.7682167)</t>
  </si>
  <si>
    <t>https://app.plutof.ut.ee/observation/view/7386090</t>
  </si>
  <si>
    <t>2025-02-11T13:19:00Z</t>
  </si>
  <si>
    <t>SRID=4326;POINT (-62.2067065 16.768702)</t>
  </si>
  <si>
    <t>Unidentified sp. 6</t>
  </si>
  <si>
    <t>Byrsonima spicata</t>
  </si>
  <si>
    <t>https://app.plutof.ut.ee/observation/view/7386100</t>
  </si>
  <si>
    <t>SRID=4326;POINT (-62.2065374 16.7684086)</t>
  </si>
  <si>
    <t>Ficus trigonata</t>
  </si>
  <si>
    <t>Measured at 125 cm</t>
  </si>
  <si>
    <t>125 cm height</t>
  </si>
  <si>
    <t>Moraceae</t>
  </si>
  <si>
    <t>Ficus</t>
  </si>
  <si>
    <t>https://app.plutof.ut.ee/observation/view/7386084</t>
  </si>
  <si>
    <t>2025-02-11T13:23:00Z</t>
  </si>
  <si>
    <t>SRID=4326;POINT (-62.2064452 16.7686328)</t>
  </si>
  <si>
    <t>Casearia sylvestris</t>
  </si>
  <si>
    <t>Casearia sylvestris Sw.</t>
  </si>
  <si>
    <t>https://app.plutof.ut.ee/observation/view/7386095</t>
  </si>
  <si>
    <t>2025-02-11T13:53:00Z</t>
  </si>
  <si>
    <t>SRID=4326;POINT (-62.2065512 16.768448)</t>
  </si>
  <si>
    <t>missing</t>
  </si>
  <si>
    <t>https://s3.hpc.ut.ee/plutof-public/large/4905d2d9-326f-46a5-8efc-feb37973e2f8.jpg</t>
  </si>
  <si>
    <t>https://app.plutof.ut.ee/observation/view/6801999</t>
  </si>
  <si>
    <t>SRID=4326;POINT (-62.2064794 16.7685446)</t>
  </si>
  <si>
    <t>https://app.plutof.ut.ee/observation/view/7386097</t>
  </si>
  <si>
    <t>SRID=4326;POINT (-62.2065539 16.7684457)</t>
  </si>
  <si>
    <t>https://s3.hpc.ut.ee/plutof-public/large/0bb89784-062e-4242-bff2-624638b74617.jpg</t>
  </si>
  <si>
    <t>https://app.plutof.ut.ee/observation/view/6802008</t>
  </si>
  <si>
    <t>SRID=4326;POINT (-62.2064783 16.768553)</t>
  </si>
  <si>
    <t>https://app.plutof.ut.ee/observation/view/7386092</t>
  </si>
  <si>
    <t>2025-02-11T13:54:00Z</t>
  </si>
  <si>
    <t>SRID=4326;POINT (-62.2065601 16.7684413)</t>
  </si>
  <si>
    <t>https://s3.hpc.ut.ee/plutof-public/large/22997af7-4860-4ce2-8968-e0063ac5160e.jpg</t>
  </si>
  <si>
    <t>Boraginaceae</t>
  </si>
  <si>
    <t>Cordia</t>
  </si>
  <si>
    <t>https://app.plutof.ut.ee/observation/view/6802005</t>
  </si>
  <si>
    <t>SRID=4326;POINT (-62.2064366 16.768542)</t>
  </si>
  <si>
    <t>2025-02-11T19:51:18Z</t>
  </si>
  <si>
    <t>https://app.plutof.ut.ee/observation/view/7386109</t>
  </si>
  <si>
    <t>SRID=4326;POINT (-62.2065595 16.7684402)</t>
  </si>
  <si>
    <t>Unidentified sp. 7</t>
  </si>
  <si>
    <t>Swietenia mahagoni</t>
  </si>
  <si>
    <t>https://s3.hpc.ut.ee/plutof-public/large/27036dbe-91aa-4b64-b98c-fabe398eec75.jpg</t>
  </si>
  <si>
    <t>https://app.plutof.ut.ee/observation/view/6802004</t>
  </si>
  <si>
    <t>SRID=4326;POINT (-62.2063961 16.7685593)</t>
  </si>
  <si>
    <t>https://app.plutof.ut.ee/observation/view/7386093</t>
  </si>
  <si>
    <t>SRID=4326;POINT (-62.2065503 16.7684472)</t>
  </si>
  <si>
    <t>Ocotea cernua</t>
  </si>
  <si>
    <t>Ocotea cernua (Nees) Mez</t>
  </si>
  <si>
    <t>https://s3.hpc.ut.ee/plutof-public/large/d2f77e59-116c-457b-b2c5-f9086eb2d924.jpg</t>
  </si>
  <si>
    <t>https://app.plutof.ut.ee/observation/view/6801993</t>
  </si>
  <si>
    <t>SRID=4326;POINT (-62.2064633 16.7685553)</t>
  </si>
  <si>
    <t>https://app.plutof.ut.ee/observation/view/7386128</t>
  </si>
  <si>
    <t>2025-02-11T13:09:00Z</t>
  </si>
  <si>
    <t>SRID=4326;POINT (-62.20647493383121 16.76842778922689)</t>
  </si>
  <si>
    <t>Guatteria caribaea</t>
  </si>
  <si>
    <t>2025-02-23T21:20:55Z</t>
  </si>
  <si>
    <t>https://app.plutof.ut.ee/observation/view/7386138</t>
  </si>
  <si>
    <t>tree n°44</t>
  </si>
  <si>
    <t>SRID=4326;POINT (-62.20646052 16.76851991)</t>
  </si>
  <si>
    <t>https://app.plutof.ut.ee/observation/view/7386085</t>
  </si>
  <si>
    <t>2025-02-11T13:12:00Z</t>
  </si>
  <si>
    <t>SRID=4326;POINT (-62.2066773 16.7686141)</t>
  </si>
  <si>
    <t>https://app.plutof.ut.ee/observation/view/7386089</t>
  </si>
  <si>
    <t>2025-02-11T13:08:00Z</t>
  </si>
  <si>
    <t>SRID=4326;POINT (-62.206507 16.768761)</t>
  </si>
  <si>
    <t>Tetrazygia discolor</t>
  </si>
  <si>
    <t>Tetrazygia discolor (L.) DC.</t>
  </si>
  <si>
    <t>Measured at 110 cm</t>
  </si>
  <si>
    <t>110 cm height</t>
  </si>
  <si>
    <t>Melastomataceae</t>
  </si>
  <si>
    <t>Tetrazygia</t>
  </si>
  <si>
    <t>https://app.plutof.ut.ee/observation/view/7386086</t>
  </si>
  <si>
    <t>2025-02-11T13:06:00Z</t>
  </si>
  <si>
    <t>SRID=4326;POINT (-62.2064902 16.7687391)</t>
  </si>
  <si>
    <t>https://app.plutof.ut.ee/observation/view/7386131</t>
  </si>
  <si>
    <t>2025-02-11T12:41:00Z</t>
  </si>
  <si>
    <t>SRID=4326;POINT (-62.20646185806227 16.768730962663216)</t>
  </si>
  <si>
    <t>Citharexylum spinosum</t>
  </si>
  <si>
    <t>Citharexylum spinosum L.</t>
  </si>
  <si>
    <t>https://s3.hpc.ut.ee/plutof-public/large/b3cacad9-af48-4eec-9ed7-e98489af663b.jpg</t>
  </si>
  <si>
    <t>Verbenaceae</t>
  </si>
  <si>
    <t>Citharexylum</t>
  </si>
  <si>
    <t>https://app.plutof.ut.ee/observation/view/6802007</t>
  </si>
  <si>
    <t>SRID=4326;POINT (-62.20649 16.7686748)</t>
  </si>
  <si>
    <t>2025-02-11T12:56:59Z</t>
  </si>
  <si>
    <t>https://app.plutof.ut.ee/observation/view/7386026</t>
  </si>
  <si>
    <t>2025-02-11T12:27:10Z</t>
  </si>
  <si>
    <t>SRID=4326;POINT (-62.2065509 16.768597)</t>
  </si>
  <si>
    <t>2025-02-11T12:56:58Z</t>
  </si>
  <si>
    <t>diameter</t>
  </si>
  <si>
    <t>https://app.plutof.ut.ee/observation/view/7386020</t>
  </si>
  <si>
    <t>2025-02-11T12:28:00Z</t>
  </si>
  <si>
    <t>SRID=4326;POINT (-62.2066029 16.7687747)</t>
  </si>
  <si>
    <t>https://app.plutof.ut.ee/observation/view/7386022</t>
  </si>
  <si>
    <t>2025-02-11T12:29:00Z</t>
  </si>
  <si>
    <t>SRID=4326;POINT (-62.2065176 16.768702)</t>
  </si>
  <si>
    <t>https://app.plutof.ut.ee/observation/view/7386019</t>
  </si>
  <si>
    <t>2025-02-11T12:31:00Z</t>
  </si>
  <si>
    <t>SRID=4326;POINT (-62.2065202 16.7687112)</t>
  </si>
  <si>
    <t>https://s3.hpc.ut.ee/plutof-public/large/d9d641dd-ad60-45e0-b8d7-099cded05188.jpg</t>
  </si>
  <si>
    <t>Salicaceae</t>
  </si>
  <si>
    <t>Casearia</t>
  </si>
  <si>
    <t>https://app.plutof.ut.ee/observation/view/6801996</t>
  </si>
  <si>
    <t>SRID=4326;POINT (-62.2063459 16.7684943)</t>
  </si>
  <si>
    <t>https://app.plutof.ut.ee/observation/view/7386112</t>
  </si>
  <si>
    <t>2025-02-11T13:52:00Z</t>
  </si>
  <si>
    <t>SRID=4326;POINT (-62.2065512 16.7684507)</t>
  </si>
  <si>
    <t>Sapium glandulosum</t>
  </si>
  <si>
    <t>Sapium glandulosum Druce</t>
  </si>
  <si>
    <t>https://s3.hpc.ut.ee/plutof-public/large/389f1d36-7e7b-4a39-a202-315d9462802f.jpg</t>
  </si>
  <si>
    <t>Euphorbiaceae</t>
  </si>
  <si>
    <t>Sapium</t>
  </si>
  <si>
    <t>https://app.plutof.ut.ee/observation/view/6802002</t>
  </si>
  <si>
    <t>SRID=4326;POINT (-62.2063556 16.7685044)</t>
  </si>
  <si>
    <t>https://app.plutof.ut.ee/observation/view/7386106</t>
  </si>
  <si>
    <t>2025-02-11T13:51:00Z</t>
  </si>
  <si>
    <t>SRID=4326;POINT (-62.2065623 16.7684463)</t>
  </si>
  <si>
    <t>https://s3.hpc.ut.ee/plutof-public/large/c33d4f1e-537b-40e3-9bd0-64006ef8afa1.jpg</t>
  </si>
  <si>
    <t>https://app.plutof.ut.ee/observation/view/6801994</t>
  </si>
  <si>
    <t>SRID=4326;POINT (-62.2063288 16.7684868)</t>
  </si>
  <si>
    <t>https://app.plutof.ut.ee/observation/view/7386103</t>
  </si>
  <si>
    <t>SRID=4326;POINT (-62.2065518 16.7684542)</t>
  </si>
  <si>
    <t>https://www.inaturalist.org/observations/227395174</t>
  </si>
  <si>
    <t>https://s3.hpc.ut.ee/plutof-public/large/0c4382e9-811a-4819-b27d-26f7efcc2952.jpg</t>
  </si>
  <si>
    <t>https://app.plutof.ut.ee/observation/view/6802006</t>
  </si>
  <si>
    <t>SRID=4326;POINT (-62.20632 16.7685327)</t>
  </si>
  <si>
    <t>https://app.plutof.ut.ee/observation/view/7386110</t>
  </si>
  <si>
    <t>SRID=4326;POINT (-62.2065493 16.7684504)</t>
  </si>
  <si>
    <t>https://s3.hpc.ut.ee/plutof-public/large/b9b2b0a3-cf82-49a9-8443-148c9d0f0406.jpg</t>
  </si>
  <si>
    <t>https://app.plutof.ut.ee/observation/view/6801998</t>
  </si>
  <si>
    <t>SRID=4326;POINT (-62.206373 16.7685606)</t>
  </si>
  <si>
    <t>https://app.plutof.ut.ee/observation/view/7386133</t>
  </si>
  <si>
    <t>2025-02-11T12:56:00Z</t>
  </si>
  <si>
    <t>SRID=4326;POINT (-62.20635574316811 16.768569778666617)</t>
  </si>
  <si>
    <t>Unidentified sp. 9</t>
  </si>
  <si>
    <t>Large fallen tree, with new shoots from forked trunk. Main trunk measured 200 cm from base of exposed buttress, with second trunk measured 120 cm from bulbous heel at branching point. Need herbarium specimen of flowering or fruiting material for firm identification, or at least normal foliage.</t>
  </si>
  <si>
    <t>https://app.plutof.ut.ee/observation/view/7386098</t>
  </si>
  <si>
    <t>SRID=4326;POINT (-62.2065512 16.7684481)</t>
  </si>
  <si>
    <t>https://app.plutof.ut.ee/observation/view/7386099</t>
  </si>
  <si>
    <t>SRID=4326;POINT (-62.2065694 16.7684516)</t>
  </si>
  <si>
    <t>https://s3.hpc.ut.ee/plutof-public/large/24032468-b454-4129-b0d2-12d6e81881b8.jpg</t>
  </si>
  <si>
    <t>https://app.plutof.ut.ee/observation/view/6802003</t>
  </si>
  <si>
    <t>SRID=4326;POINT (-62.2063789 16.7685741)</t>
  </si>
  <si>
    <t>https://app.plutof.ut.ee/observation/view/7386101</t>
  </si>
  <si>
    <t>2025-02-11T13:50:00Z</t>
  </si>
  <si>
    <t>SRID=4326;POINT (-62.206555 16.7684489)</t>
  </si>
  <si>
    <t>Ocotea leucoxylon (Sw.) Mez</t>
  </si>
  <si>
    <t>https://s3.hpc.ut.ee/plutof-public/large/495aed78-a5b8-4669-bdf1-a519201ce1d6.jpg</t>
  </si>
  <si>
    <t>https://app.plutof.ut.ee/observation/view/6802000</t>
  </si>
  <si>
    <t>SRID=4326;POINT (-62.2064318 16.7686068)</t>
  </si>
  <si>
    <t>https://app.plutof.ut.ee/observation/view/7386096</t>
  </si>
  <si>
    <t>2025-02-11T14:40:00Z</t>
  </si>
  <si>
    <t>SRID=4326;POINT (-62.2065143 16.7686303)</t>
  </si>
  <si>
    <t>Trema lamarckianum</t>
  </si>
  <si>
    <t>Trema lamarckianum (Schult.) Blume</t>
  </si>
  <si>
    <t>Trema lamarckianum (Roem. &amp; Schult.) Blume</t>
  </si>
  <si>
    <t>https://s3.hpc.ut.ee/plutof-public/large/b8b3f76d-8cc7-476d-877b-ba0068b5d159.jpg</t>
  </si>
  <si>
    <t>Cannabaceae</t>
  </si>
  <si>
    <t>Trema</t>
  </si>
  <si>
    <t>https://app.plutof.ut.ee/observation/view/6802009</t>
  </si>
  <si>
    <t>SRID=4326;POINT (-62.2064319 16.7686731)</t>
  </si>
  <si>
    <t>https://app.plutof.ut.ee/observation/view/7386088</t>
  </si>
  <si>
    <t>2025-02-11T13:01:00Z</t>
  </si>
  <si>
    <t>SRID=4326;POINT (-62.2063806 16.768636)</t>
  </si>
  <si>
    <t>https://s3.hpc.ut.ee/plutof-public/large/32962be7-fd77-4e83-82cb-e74769a22c18.jpg</t>
  </si>
  <si>
    <t>https://app.plutof.ut.ee/observation/view/6801997</t>
  </si>
  <si>
    <t>SRID=4326;POINT (-62.2064498 16.7687038)</t>
  </si>
  <si>
    <t>https://app.plutof.ut.ee/observation/view/7386023</t>
  </si>
  <si>
    <t>2025-02-11T12:33:00Z</t>
  </si>
  <si>
    <t>SRID=4326;POINT (-62.2064564 16.7686975)</t>
  </si>
  <si>
    <t>Measured 120 cm from ground</t>
  </si>
  <si>
    <t>https://app.plutof.ut.ee/observation/view/7386025</t>
  </si>
  <si>
    <t>SRID=4326;POINT (-62.2063608 16.7686284)</t>
  </si>
  <si>
    <t>Measured 110 cm from ground</t>
  </si>
  <si>
    <t>https://app.plutof.ut.ee/observation/view/7386024</t>
  </si>
  <si>
    <t>2025-02-11T12:43:00Z</t>
  </si>
  <si>
    <t>SRID=4326;POINT (-62.2064086 16.7685893)</t>
  </si>
  <si>
    <t>https://s3.hpc.ut.ee/plutof-public/large/4be7c9c5-f79c-4c3e-9be4-12c52823bf5c.jpg</t>
  </si>
  <si>
    <t>https://app.plutof.ut.ee/observation/view/6801995</t>
  </si>
  <si>
    <t>SRID=4326;POINT (-62.2063949 16.7686564)</t>
  </si>
  <si>
    <t>https://app.plutof.ut.ee/observation/view/7386021</t>
  </si>
  <si>
    <t>2025-02-11T12:50:00Z</t>
  </si>
  <si>
    <t>SRID=4326;POINT (-62.20638 16.7686433)</t>
  </si>
  <si>
    <t>https://app.plutof.ut.ee/observation/view/7386126</t>
  </si>
  <si>
    <t>2025-02-11T12:52:00Z</t>
  </si>
  <si>
    <t>SRID=4326;POINT (-62.21071064472199 16.759093343960377)</t>
  </si>
  <si>
    <t>https://app.plutof.ut.ee/observation/view/7386108</t>
  </si>
  <si>
    <t>2025-02-11T13:49:00Z</t>
  </si>
  <si>
    <t>SRID=4326;POINT (-62.206548 16.7684371)</t>
  </si>
  <si>
    <t>2025-02-12T00:44:13Z</t>
  </si>
  <si>
    <t>https://app.plutof.ut.ee/observation/view/7386134</t>
  </si>
  <si>
    <t>2025-02-11T12:53:00Z</t>
  </si>
  <si>
    <t>SRID=4326;POINT (-62.20636454416644 16.768650622122706)</t>
  </si>
  <si>
    <t>https://app.plutof.ut.ee/observation/view/7386104</t>
  </si>
  <si>
    <t>2025-02-11T13:35:00Z</t>
  </si>
  <si>
    <t>SRID=4326;POINT (-62.2066911 16.7685288)</t>
  </si>
  <si>
    <t>Byrsonima</t>
  </si>
  <si>
    <t>https://app.plutof.ut.ee/observation/view/7386107</t>
  </si>
  <si>
    <t>2025-02-11T14:26:00Z</t>
  </si>
  <si>
    <t>SRID=4326;POINT (-62.2066762 16.7685321)</t>
  </si>
  <si>
    <t>2025-02-12T00:59:01Z</t>
  </si>
  <si>
    <t>https://app.plutof.ut.ee/observation/view/7386116</t>
  </si>
  <si>
    <t>2025-02-11T14:47:00Z</t>
  </si>
  <si>
    <t>SRID=4326;POINT (-62.20652 16.768643)</t>
  </si>
  <si>
    <t>Daphnopsis americana subsp. caribaea</t>
  </si>
  <si>
    <t>Daphnopsis americana (Mill.) J.R.Johnst.</t>
  </si>
  <si>
    <t>measured at tick mark</t>
  </si>
  <si>
    <t>https://app.plutof.ut.ee/observation/view/7386094</t>
  </si>
  <si>
    <t>2025-02-11T14:46:00Z</t>
  </si>
  <si>
    <t>SRID=4326;POINT (-62.206515 16.76864)</t>
  </si>
  <si>
    <t>https://app.plutof.ut.ee/observation/view/7386115</t>
  </si>
  <si>
    <t>SRID=4326;POINT (-62.2065125 16.768634)</t>
  </si>
  <si>
    <t>2025-02-11T19:51:19Z</t>
  </si>
  <si>
    <t>below bump</t>
  </si>
  <si>
    <t>https://app.plutof.ut.ee/observation/view/7386117</t>
  </si>
  <si>
    <t>SRID=4326;POINT (-62.2065208 16.7686445)</t>
  </si>
  <si>
    <t>https://app.plutof.ut.ee/observation/view/7386091</t>
  </si>
  <si>
    <t>2025-02-11T14:48:00Z</t>
  </si>
  <si>
    <t>SRID=4326;POINT (-62.2065201 16.7686441)</t>
  </si>
  <si>
    <t>Includes many Philodendron roots adhering to trunk</t>
  </si>
  <si>
    <t>Quentin Groom, Jodey Peyton, Stephan Hixon, Ajherae White, Tavis Weekes, Llotese Martin, Antwone Sinclaire, Julien Romeo</t>
  </si>
  <si>
    <t>Prestoea montana</t>
  </si>
  <si>
    <t>Cecropia schreberiana</t>
  </si>
  <si>
    <t>Prop roots, diameter measured at 200 cm, includes philodendron roots</t>
  </si>
  <si>
    <t>vines covering trunk, so actual measurement is less</t>
  </si>
  <si>
    <t>Prop roots, diameter measured at 168 cm</t>
  </si>
  <si>
    <t>Prop roots, diameter measured at 193 cm (higher than last visit)</t>
  </si>
  <si>
    <t>Prop roots, diameter measured at 193 cm</t>
  </si>
  <si>
    <t>Prop roots, diameter measured at 162 cm</t>
  </si>
  <si>
    <t>Prop roots, diameter measured at 118 cm</t>
  </si>
  <si>
    <t>Ficus citrifolia</t>
  </si>
  <si>
    <t>3 trunks, diameters measured at 117 cm</t>
  </si>
  <si>
    <t>270 total</t>
  </si>
  <si>
    <t>Prop roots and 2 trunks, diameters measured at 210 cm</t>
  </si>
  <si>
    <t>recorded as 31.2 cm DBH, but I assume this is a diameter based on subsequent measurements</t>
  </si>
  <si>
    <t>Cedrela odorata</t>
  </si>
  <si>
    <t>2 trunks, diameters measured at 175 cm</t>
  </si>
  <si>
    <t>2 trunks, diameters measured at 175 cm (No leaves in Feb 2019)</t>
  </si>
  <si>
    <t>Short trunk, diameter measured at 50 cm</t>
  </si>
  <si>
    <t>Cyathea sp.</t>
  </si>
  <si>
    <t>Need voucher to get species identification</t>
  </si>
  <si>
    <t>Clusea major</t>
  </si>
  <si>
    <t>Large tree with dense clustering of prop roots, diameter very approximate, including prop roots</t>
  </si>
  <si>
    <t>Lauraceae sp. 1</t>
  </si>
  <si>
    <t>Need photo or voucher, several species known as sweetwood</t>
  </si>
  <si>
    <t>Herbarium specimen made</t>
  </si>
  <si>
    <t>First time tagged and measured</t>
  </si>
  <si>
    <t>Unidentified</t>
  </si>
  <si>
    <t>Known as sweetwood, voucher specimen needed</t>
  </si>
  <si>
    <t>tree_id</t>
  </si>
  <si>
    <t>x_m</t>
  </si>
  <si>
    <t>y_m</t>
  </si>
  <si>
    <t>dbh_cm</t>
  </si>
  <si>
    <t>status</t>
  </si>
  <si>
    <t>alive</t>
  </si>
  <si>
    <t>quadrat no.</t>
  </si>
  <si>
    <t xml:space="preserve"> species </t>
  </si>
  <si>
    <t>number of plants or % coverage notes</t>
  </si>
  <si>
    <t>F1</t>
  </si>
  <si>
    <t>Philodendron giganteum</t>
  </si>
  <si>
    <t>Spondias mombin</t>
  </si>
  <si>
    <t>Ixora ferrea</t>
  </si>
  <si>
    <t>Blechnum occidentale</t>
  </si>
  <si>
    <t>Pharus glaber</t>
  </si>
  <si>
    <t>F2</t>
  </si>
  <si>
    <t>Adiantum latifolium</t>
  </si>
  <si>
    <t>Tectaria heracleifolia</t>
  </si>
  <si>
    <t>F3</t>
  </si>
  <si>
    <t>Other</t>
  </si>
  <si>
    <t>Pimenta racemosa</t>
  </si>
  <si>
    <t>Lasiacis sp.</t>
  </si>
  <si>
    <t>Unidentified sp. 12</t>
  </si>
  <si>
    <t>sapling</t>
  </si>
  <si>
    <t>F4</t>
  </si>
  <si>
    <t>Unidentified sp. 13</t>
  </si>
  <si>
    <t>Plot</t>
  </si>
  <si>
    <t>Number</t>
  </si>
  <si>
    <t>Total cover</t>
  </si>
  <si>
    <t>Date</t>
  </si>
  <si>
    <t>a</t>
  </si>
  <si>
    <t>Myrcia citrifolia</t>
  </si>
  <si>
    <t>https://www.inaturalist.org/observations/261371710</t>
  </si>
  <si>
    <t>b</t>
  </si>
  <si>
    <t>c</t>
  </si>
  <si>
    <t>Ocotea luecoxylon</t>
  </si>
  <si>
    <t>https://www.inaturalist.org/observations/261371661</t>
  </si>
  <si>
    <t>d</t>
  </si>
  <si>
    <t>Faramea occidentalis</t>
  </si>
  <si>
    <t>https://www.inaturalist.org/observations/261371678</t>
  </si>
  <si>
    <t>e</t>
  </si>
  <si>
    <t>Fern</t>
  </si>
  <si>
    <t>https://www.inaturalist.org/observations/261375817</t>
  </si>
  <si>
    <t>f</t>
  </si>
  <si>
    <t>https://www.inaturalist.org/observations/261371669</t>
  </si>
  <si>
    <t>g</t>
  </si>
  <si>
    <t>https://www.inaturalist.org/observations/261371842</t>
  </si>
  <si>
    <t>h</t>
  </si>
  <si>
    <t>Dolichandra unguis-cati</t>
  </si>
  <si>
    <t>https://www.inaturalist.org/observations/261375791</t>
  </si>
  <si>
    <t>i</t>
  </si>
  <si>
    <t>Pisonia aculeata</t>
  </si>
  <si>
    <t>https://www.inaturalist.org/observations/261371561</t>
  </si>
  <si>
    <t>j</t>
  </si>
  <si>
    <t>k - the main tree so ignore</t>
  </si>
  <si>
    <t>Aspidogyne querceticola</t>
  </si>
  <si>
    <t>https://www.inaturalist.org/observations/261371701</t>
  </si>
  <si>
    <t>l</t>
  </si>
  <si>
    <t>Tectaria sp.</t>
  </si>
  <si>
    <t>https://www.inaturalist.org/observations/261371931</t>
  </si>
  <si>
    <t>m</t>
  </si>
  <si>
    <t>Ocotea ? Cernua</t>
  </si>
  <si>
    <t>https://www.inaturalist.org/observations/261372001</t>
  </si>
  <si>
    <t>n</t>
  </si>
  <si>
    <t>https://www.inaturalist.org/observations/261372030</t>
  </si>
  <si>
    <t>o</t>
  </si>
  <si>
    <t>Column 1</t>
  </si>
  <si>
    <t>Column 2</t>
  </si>
  <si>
    <t>sweetwood</t>
  </si>
  <si>
    <t>number of plants or % coverage</t>
  </si>
  <si>
    <t>BG1</t>
  </si>
  <si>
    <t>Mangifera indica</t>
  </si>
  <si>
    <t>Piper dilatatum</t>
  </si>
  <si>
    <t>BG2</t>
  </si>
  <si>
    <t>Heliconia caribaea</t>
  </si>
  <si>
    <t>Clusia major</t>
  </si>
  <si>
    <t>BG3</t>
  </si>
  <si>
    <t>Musa acuminata</t>
  </si>
  <si>
    <t>BG4</t>
  </si>
  <si>
    <t>Xanthosoma sagittifolium</t>
  </si>
  <si>
    <t>Unidentified sp. 10</t>
  </si>
  <si>
    <t>Philodendron hederaceum</t>
  </si>
  <si>
    <t>Ichnanthus pallens</t>
  </si>
  <si>
    <t>link</t>
  </si>
  <si>
    <t>dbh 4</t>
  </si>
  <si>
    <t>dbh 5</t>
  </si>
  <si>
    <t>dbh 6</t>
  </si>
  <si>
    <t>name</t>
  </si>
  <si>
    <t>Mangifera indica L.</t>
  </si>
  <si>
    <t>https://app.plutof.ut.ee/observation/view/7387979</t>
  </si>
  <si>
    <t>Quentin Groom, Stephon Hixon, Llotese Martin, Zeiko McDonald, Sofie Meeus, Stephen R. Mendes, Julien Romeo, Chris Sealys, Antwone Sinclaire, Tavis Weekes, Ajhermae White</t>
  </si>
  <si>
    <t>Viridiplantae</t>
  </si>
  <si>
    <t>Anthophyta</t>
  </si>
  <si>
    <t>Eudicotyledonae</t>
  </si>
  <si>
    <t>Sapindales</t>
  </si>
  <si>
    <t>Anacardiaceae</t>
  </si>
  <si>
    <t>Mangifera</t>
  </si>
  <si>
    <t>2025-02-14T12:28:00Z</t>
  </si>
  <si>
    <t>Underwood Plot</t>
  </si>
  <si>
    <t>Saint Peter Parish, QRF4+RHP</t>
  </si>
  <si>
    <t>SRID=4326;POINT (-62.1944082 16.7723191)</t>
  </si>
  <si>
    <t>https://app.plutof.ut.ee/observation/view/7387983</t>
  </si>
  <si>
    <t>below branches on the upper side</t>
  </si>
  <si>
    <t>2025-02-14T12:33:00Z</t>
  </si>
  <si>
    <t>SRID=4326;POINT (-62.194395 16.7722561)</t>
  </si>
  <si>
    <t>Cecropia schreberiana Miq.</t>
  </si>
  <si>
    <t>Measured above buttress at 170 cm</t>
  </si>
  <si>
    <t>https://app.plutof.ut.ee/observation/view/7387995</t>
  </si>
  <si>
    <t>above buttress, 170 cm</t>
  </si>
  <si>
    <t>Rosales</t>
  </si>
  <si>
    <t>Urticaceae</t>
  </si>
  <si>
    <t>Cecropia</t>
  </si>
  <si>
    <t>2025-02-14T12:40:00Z</t>
  </si>
  <si>
    <t>SRID=4326;POINT (-62.1944682 16.7723473)</t>
  </si>
  <si>
    <t>https://app.plutof.ut.ee/observation/view/7387987</t>
  </si>
  <si>
    <t>2025-02-14T12:59:00Z</t>
  </si>
  <si>
    <t>SRID=4326;POINT (-62.1945027 16.7723791)</t>
  </si>
  <si>
    <t>Atrocarpus altilis</t>
  </si>
  <si>
    <t>Artocarpus altilis (Parkinson) Fosberg</t>
  </si>
  <si>
    <t>Measured below bulge 110 cm</t>
  </si>
  <si>
    <t>https://app.plutof.ut.ee/observation/view/7387991</t>
  </si>
  <si>
    <t>below bulge, 110</t>
  </si>
  <si>
    <t>Artocarpus altilis</t>
  </si>
  <si>
    <t>2025-02-14T12:56:00Z</t>
  </si>
  <si>
    <t>SRID=4326;POINT (-62.1945943 16.7724378)</t>
  </si>
  <si>
    <t>Damburneya coriacea (Sw.) Trofimov &amp; Rohwer</t>
  </si>
  <si>
    <t>Spindly basal suckers not measured. Need herbarium specimen of flowering or fruiting material for firm identification.</t>
  </si>
  <si>
    <t>https://app.plutof.ut.ee/observation/view/7387996</t>
  </si>
  <si>
    <t>2025-02-14T12:53:00Z</t>
  </si>
  <si>
    <t>SRID=4326;POINT (-62.1945589 16.7724186)</t>
  </si>
  <si>
    <t>Crescentia cujete</t>
  </si>
  <si>
    <t>Crescentia cujete L.</t>
  </si>
  <si>
    <t>https://app.plutof.ut.ee/observation/view/7387981</t>
  </si>
  <si>
    <t>2025-02-14T13:04:00Z</t>
  </si>
  <si>
    <t>SRID=4326;POINT (-62.194519 16.7724235)</t>
  </si>
  <si>
    <t>Inga laurina (Sw.)Willd.</t>
  </si>
  <si>
    <t>https://app.plutof.ut.ee/observation/view/7387988</t>
  </si>
  <si>
    <t>Fabales</t>
  </si>
  <si>
    <t>2025-02-14T11:52:00Z</t>
  </si>
  <si>
    <t>SRID=4326;POINT (-62.1944356 16.7724675)</t>
  </si>
  <si>
    <t>Measure above buttress at 160 cm</t>
  </si>
  <si>
    <t>https://app.plutof.ut.ee/observation/view/7387985</t>
  </si>
  <si>
    <t>2025-02-14T11:43:00Z</t>
  </si>
  <si>
    <t>SRID=4326;POINT (-62.1944433 16.7725689)</t>
  </si>
  <si>
    <t>https://app.plutof.ut.ee/observation/view/7387986</t>
  </si>
  <si>
    <t>under the bulge</t>
  </si>
  <si>
    <t>2025-02-14T12:17:00Z</t>
  </si>
  <si>
    <t>SRID=4326;POINT (-62.1944006 16.7722398)</t>
  </si>
  <si>
    <t>Measured below bulge at 100 cm</t>
  </si>
  <si>
    <t>https://app.plutof.ut.ee/observation/view/7387992</t>
  </si>
  <si>
    <t>below bulge on the upper side</t>
  </si>
  <si>
    <t>2025-02-14T12:30:00Z</t>
  </si>
  <si>
    <t>SRID=4326;POINT (-62.1943701 16.7722689)</t>
  </si>
  <si>
    <t>https://app.plutof.ut.ee/observation/view/7387984</t>
  </si>
  <si>
    <t>2025-02-14T12:14:00Z</t>
  </si>
  <si>
    <t>SRID=4326;POINT (-62.1942722 16.7722558)</t>
  </si>
  <si>
    <t>https://app.plutof.ut.ee/observation/view/7387980</t>
  </si>
  <si>
    <t>Cordia collococca</t>
  </si>
  <si>
    <t>Cordia collococca L.</t>
  </si>
  <si>
    <t>Boraginales</t>
  </si>
  <si>
    <t>2025-02-14T12:11:00Z</t>
  </si>
  <si>
    <t>SRID=4326;POINT (-62.1942925 16.7722172)</t>
  </si>
  <si>
    <t>https://app.plutof.ut.ee/observation/view/7387994</t>
  </si>
  <si>
    <t>2025-02-14T11:57:00Z</t>
  </si>
  <si>
    <t>SRID=4326;POINT (-62.1943975 16.7724711)</t>
  </si>
  <si>
    <t>Measured at 11 cm</t>
  </si>
  <si>
    <t>https://app.plutof.ut.ee/observation/view/7387993</t>
  </si>
  <si>
    <t>2025-02-14T12:02:00Z</t>
  </si>
  <si>
    <t>SRID=4326;POINT (-62.1942392 16.7724137)</t>
  </si>
  <si>
    <t>Ficus citrifolia Mill.</t>
  </si>
  <si>
    <t>https://app.plutof.ut.ee/observation/view/7387982</t>
  </si>
  <si>
    <t>2025-02-14T12:04:00Z</t>
  </si>
  <si>
    <t>SRID=4326;POINT (-62.1942989 16.7724737)</t>
  </si>
  <si>
    <t>Measured at 65 cm on uphill side</t>
  </si>
  <si>
    <t>https://app.plutof.ut.ee/observation/view/7387997</t>
  </si>
  <si>
    <t>2025-02-14T12:08:00Z</t>
  </si>
  <si>
    <t>SRID=4326;POINT (-62.1942242 16.7723517)</t>
  </si>
  <si>
    <t>Byrsonima spicata (Cav.) Rich. ex Kunth</t>
  </si>
  <si>
    <t>https://app.plutof.ut.ee/observation/view/7387990</t>
  </si>
  <si>
    <t>Piper reticulatum L.</t>
  </si>
  <si>
    <t>below bulge</t>
  </si>
  <si>
    <t>Piper</t>
  </si>
  <si>
    <t>Piper L.</t>
  </si>
  <si>
    <t>Piperales</t>
  </si>
  <si>
    <t>Piperaceae</t>
  </si>
  <si>
    <t>Genus</t>
  </si>
  <si>
    <t>2025-02-14T13:10:00Z</t>
  </si>
  <si>
    <t>SRID=4326;POINT (-62.1944328 16.772499)</t>
  </si>
  <si>
    <t>https://app.plutof.ut.ee/observation/view/7387989</t>
  </si>
  <si>
    <t xml:space="preserve">Myrcia splendens (Sw.) DC.
</t>
  </si>
  <si>
    <t>2025-02-14T13:09:00Z</t>
  </si>
  <si>
    <t>SRID=4326;POINT (-62.1942938 16.7724259)</t>
  </si>
  <si>
    <t>U1</t>
  </si>
  <si>
    <t>Palicourea crocea</t>
  </si>
  <si>
    <t>cf. Faramea occidentalis 2</t>
  </si>
  <si>
    <t>U2</t>
  </si>
  <si>
    <t>Syzygium jambos</t>
  </si>
  <si>
    <t>U3</t>
  </si>
  <si>
    <t>1 sapling</t>
  </si>
  <si>
    <t>Lasiacis sp. 40%</t>
  </si>
  <si>
    <t>U4</t>
  </si>
  <si>
    <t>Unidentified sp. 15</t>
  </si>
  <si>
    <t>Cf. Faramea occidentalis</t>
  </si>
  <si>
    <t>Rights holder</t>
  </si>
  <si>
    <t>Created by</t>
  </si>
  <si>
    <t>Created</t>
  </si>
  <si>
    <t>Modified by</t>
  </si>
  <si>
    <t>Modified</t>
  </si>
  <si>
    <t>Count</t>
  </si>
  <si>
    <t>Remarks</t>
  </si>
  <si>
    <t>Interactions</t>
  </si>
  <si>
    <t>Identification.Date identified</t>
  </si>
  <si>
    <t>Identification.Taxon name add.</t>
  </si>
  <si>
    <t>Identification.Typification</t>
  </si>
  <si>
    <t>Identification.Remarks</t>
  </si>
  <si>
    <t>Identification.Identifiers</t>
  </si>
  <si>
    <t>Identification.Taxon name</t>
  </si>
  <si>
    <t>Identification.Full taxon name</t>
  </si>
  <si>
    <t>Identification.Current taxon name</t>
  </si>
  <si>
    <t>Identification.Current full taxon name</t>
  </si>
  <si>
    <t>Identification.Kingdom</t>
  </si>
  <si>
    <t>Identification.Phylum</t>
  </si>
  <si>
    <t>Identification.Class</t>
  </si>
  <si>
    <t>Identification.Order</t>
  </si>
  <si>
    <t>Identification.Family</t>
  </si>
  <si>
    <t>Identification.Genus</t>
  </si>
  <si>
    <t>Identification.Vernacular names</t>
  </si>
  <si>
    <t>Identification.Taxon rank</t>
  </si>
  <si>
    <t>Sampling event.Timespan begin</t>
  </si>
  <si>
    <t>Sampling event.Timespan end</t>
  </si>
  <si>
    <t>Sampling event.Event description</t>
  </si>
  <si>
    <t>Sampling event.Collected by</t>
  </si>
  <si>
    <t>Sampling area.Locality text</t>
  </si>
  <si>
    <t>Sampling area.Latitude</t>
  </si>
  <si>
    <t>Sampling area.Longitude</t>
  </si>
  <si>
    <t>Sampling area.Restricted</t>
  </si>
  <si>
    <t>Sampling area.Project</t>
  </si>
  <si>
    <t>Sampling area.Parent project</t>
  </si>
  <si>
    <t>Sampling area.Name</t>
  </si>
  <si>
    <t>Sampling area.Accuracy</t>
  </si>
  <si>
    <t>Sampling area.Method</t>
  </si>
  <si>
    <t>Sampling area.Country</t>
  </si>
  <si>
    <t>Sampling area.State</t>
  </si>
  <si>
    <t>Sampling area.District</t>
  </si>
  <si>
    <t>Sampling area.Commune or City</t>
  </si>
  <si>
    <t>Sampling area.Parent area name</t>
  </si>
  <si>
    <t>Sampling area.Geometry field</t>
  </si>
  <si>
    <t>Habitat.Description</t>
  </si>
  <si>
    <t>Habitat.IUCN habitat type</t>
  </si>
  <si>
    <t>Habitat.Community type acc. to Paal</t>
  </si>
  <si>
    <t>Measurement: Name</t>
  </si>
  <si>
    <t>Measurement: Establishment means</t>
  </si>
  <si>
    <t>Measurement: Diameter at breast height</t>
  </si>
  <si>
    <t>2025-02-11 12:56:58.668967+00:00</t>
  </si>
  <si>
    <t>15.5 cm</t>
  </si>
  <si>
    <t>Myrtales</t>
  </si>
  <si>
    <t>2025-02-11 12:56:58.669135+00:00</t>
  </si>
  <si>
    <t>26 cm diameter</t>
  </si>
  <si>
    <t>2025-02-11 12:56:58.669298+00:00</t>
  </si>
  <si>
    <t>14.2/8.6/5.2</t>
  </si>
  <si>
    <t>2025-02-11 12:56:58.672055+00:00</t>
  </si>
  <si>
    <t>12 cm diameter</t>
  </si>
  <si>
    <t>2025-02-11 12:56:58.671942+00:00</t>
  </si>
  <si>
    <t>12.9/8.10</t>
  </si>
  <si>
    <t>Malpighiales</t>
  </si>
  <si>
    <t>2025-02-11 12:56:58.672751+00:00</t>
  </si>
  <si>
    <t>2025-02-11 12:56:58.672806+00:00</t>
  </si>
  <si>
    <t>42.5 cm</t>
  </si>
  <si>
    <t>Caryophyllales</t>
  </si>
  <si>
    <t>2025-02-11 12:56:59.201088+00:00</t>
  </si>
  <si>
    <t>25.25 cm</t>
  </si>
  <si>
    <t>Lamiales</t>
  </si>
  <si>
    <t>https://app.plutof.ut.ee/observation/view/7386027</t>
  </si>
  <si>
    <t>2025-02-11 12:57:00.544723+00:00</t>
  </si>
  <si>
    <t>2025-02-11T12:57:00Z</t>
  </si>
  <si>
    <t>2025-02-11T12:23:00Z</t>
  </si>
  <si>
    <t>2025-02-11 19:43:12.351750+00:00</t>
  </si>
  <si>
    <t>63.4 (125 cm height)</t>
  </si>
  <si>
    <t>Ficus trigonata L.</t>
  </si>
  <si>
    <t>2025-02-11 19:43:12.351577+00:00</t>
  </si>
  <si>
    <t>2025-02-11 19:43:12.352208+00:00</t>
  </si>
  <si>
    <t>17.0 (110 cm height)</t>
  </si>
  <si>
    <t>2025-02-11 19:43:12.352275+00:00</t>
  </si>
  <si>
    <t>Laurales</t>
  </si>
  <si>
    <t>2025-02-11 19:43:12.352078+00:00</t>
  </si>
  <si>
    <t>2025-02-11 19:43:12.352548+00:00</t>
  </si>
  <si>
    <t>2025-02-11 19:43:12.353026+00:00</t>
  </si>
  <si>
    <t>2025-02-11 19:51:17.594254+00:00</t>
  </si>
  <si>
    <t>10.3 (below bump)</t>
  </si>
  <si>
    <t>2025-02-11 19:51:17.628415+00:00</t>
  </si>
  <si>
    <t>2025-02-11 19:51:17.668748+00:00</t>
  </si>
  <si>
    <t>2025-02-11 19:51:17.669084+00:00</t>
  </si>
  <si>
    <t>11 (measured at tick mark)</t>
  </si>
  <si>
    <t>2025-02-11 19:51:17.676057+00:00</t>
  </si>
  <si>
    <t>2025-02-11 19:51:17.678822+00:00</t>
  </si>
  <si>
    <t>2025-02-11 19:51:17.678773+00:00</t>
  </si>
  <si>
    <t>2025-02-11 19:51:17.683822+00:00</t>
  </si>
  <si>
    <t>2025-02-11 19:51:17.702645+00:00</t>
  </si>
  <si>
    <t>2025-02-11 19:51:17.702684+00:00</t>
  </si>
  <si>
    <t>2025-02-11 19:51:17.708854+00:00</t>
  </si>
  <si>
    <t>2025-02-11 19:51:17.888577+00:00</t>
  </si>
  <si>
    <t>2025-02-11 19:51:17.894044+00:00</t>
  </si>
  <si>
    <t>2025-02-11 19:51:17.924598+00:00</t>
  </si>
  <si>
    <t>2025-02-11 19:51:17.933925+00:00</t>
  </si>
  <si>
    <t>2025-02-11 19:51:17.945138+00:00</t>
  </si>
  <si>
    <t>2025-02-11 19:51:17.950762+00:00</t>
  </si>
  <si>
    <t>2025-02-11 19:51:17.976226+00:00</t>
  </si>
  <si>
    <t>2025-02-11 19:51:18.004008+00:00</t>
  </si>
  <si>
    <t>2025-02-11 19:51:18.010237+00:00</t>
  </si>
  <si>
    <t>https://app.plutof.ut.ee/observation/view/7386111</t>
  </si>
  <si>
    <t>2025-02-11 19:51:18.780959+00:00</t>
  </si>
  <si>
    <t>2025-02-11T14:00:00Z</t>
  </si>
  <si>
    <t>SRID=4326;POINT (-62.2065692 16.7683849)</t>
  </si>
  <si>
    <t>2025-02-11 19:51:18.789595+00:00</t>
  </si>
  <si>
    <t>2025-02-11 19:51:18.822983+00:00</t>
  </si>
  <si>
    <t>137/89</t>
  </si>
  <si>
    <t>2025-02-11 19:51:18.855606+00:00</t>
  </si>
  <si>
    <t>2025-02-11 19:51:18.864128+00:00</t>
  </si>
  <si>
    <t>2025-02-11 19:51:18.870886+00:00</t>
  </si>
  <si>
    <t>2025-02-11 19:51:18.889714+00:00</t>
  </si>
  <si>
    <t>10.6 (below bump)</t>
  </si>
  <si>
    <t>2025-02-12 00:44:11.481952+00:00</t>
  </si>
  <si>
    <t>2025-02-12 00:44:11.574722+00:00</t>
  </si>
  <si>
    <t>9.7 half of the tree is rotten</t>
  </si>
  <si>
    <t>2025-02-12 00:44:11.656737+00:00</t>
  </si>
  <si>
    <t>Guatteria caribaea Urb.</t>
  </si>
  <si>
    <t>Magnoliales</t>
  </si>
  <si>
    <t>2025-02-12 00:44:11.663134+00:00</t>
  </si>
  <si>
    <t>2025-02-12 00:44:11.806676+00:00</t>
  </si>
  <si>
    <t>2025-02-12 00:44:11.873131+00:00</t>
  </si>
  <si>
    <t>2025-02-12 00:44:11.922226+00:00</t>
  </si>
  <si>
    <t>https://app.plutof.ut.ee/observation/view/7386129</t>
  </si>
  <si>
    <t>2025-02-12 00:44:11.932141+00:00</t>
  </si>
  <si>
    <t>dead tree</t>
  </si>
  <si>
    <t>2025-02-11T13:31:00Z</t>
  </si>
  <si>
    <t>SRID=4326;POINT (-62.206559171958084 16.76862103400451)</t>
  </si>
  <si>
    <t>2025-02-12 00:44:12.122657+00:00</t>
  </si>
  <si>
    <t>2025-02-12 00:44:12.200382+00:00</t>
  </si>
  <si>
    <t>2025-02-12 00:44:12.644116+00:00</t>
  </si>
  <si>
    <t>2025-02-12 00:44:12.936425+00:00</t>
  </si>
  <si>
    <t>2025-02-12 00:44:12.985659+00:00</t>
  </si>
  <si>
    <t>2025-02-12 00:44:13.020367+00:00</t>
  </si>
  <si>
    <t>https://app.plutof.ut.ee/observation/view/7386136</t>
  </si>
  <si>
    <t>2025-02-12 00:44:13.056910+00:00</t>
  </si>
  <si>
    <t>2025-02-23T21:24:34Z</t>
  </si>
  <si>
    <t>tree n°67</t>
  </si>
  <si>
    <t>SRID=4326;POINT (-62.20647368 16.76871106)</t>
  </si>
  <si>
    <t>https://app.plutof.ut.ee/observation/view/7386137</t>
  </si>
  <si>
    <t>2025-02-12 00:44:13.065903+00:00</t>
  </si>
  <si>
    <t>2025-02-23T21:28:19Z</t>
  </si>
  <si>
    <t>tree n°59</t>
  </si>
  <si>
    <t>SRID=4326;POINT (-62.20640394 16.76859857)</t>
  </si>
  <si>
    <t>2025-02-12 00:44:13.176897+00:00</t>
  </si>
  <si>
    <t>2025-02-14 16:44:23.684017+00:00</t>
  </si>
  <si>
    <t>2025-02-14T16:44:23Z</t>
  </si>
  <si>
    <t>2025-02-14 16:44:23.685704+00:00</t>
  </si>
  <si>
    <t>2025-02-14 16:44:23.685764+00:00</t>
  </si>
  <si>
    <t>7.1/4.9/4/3.9</t>
  </si>
  <si>
    <t>2025-02-14 16:44:23.838738+00:00</t>
  </si>
  <si>
    <t>2025-02-14 16:44:23.859435+00:00</t>
  </si>
  <si>
    <t>50.7 (below branches on the upper side)</t>
  </si>
  <si>
    <t>2025-02-14 16:44:23.860647+00:00</t>
  </si>
  <si>
    <t>2025-02-14 16:44:23.862600+00:00</t>
  </si>
  <si>
    <t>2025-02-14 16:44:23.864170+00:00</t>
  </si>
  <si>
    <t>19.9 (under the bulge)</t>
  </si>
  <si>
    <t>2025-02-14 16:44:23.865301+00:00</t>
  </si>
  <si>
    <t>2025-02-14 16:44:23.870249+00:00</t>
  </si>
  <si>
    <t>32/27.4/23.3/23.1/21.2/8.2</t>
  </si>
  <si>
    <t>2025-02-14 16:44:23.883094+00:00</t>
  </si>
  <si>
    <t>2025-02-14 16:44:23.882408+00:00</t>
  </si>
  <si>
    <t>8.7 (below bulge)</t>
  </si>
  <si>
    <t>2025-02-14 16:44:23.883343+00:00</t>
  </si>
  <si>
    <t>32.7 (below bulge, 110)</t>
  </si>
  <si>
    <t>2025-02-14 16:44:23.889567+00:00</t>
  </si>
  <si>
    <t>31.5 (below bulge on the upper side)</t>
  </si>
  <si>
    <t>2025-02-14 16:44:23.898281+00:00</t>
  </si>
  <si>
    <t>2025-02-14 16:44:23.919627+00:00</t>
  </si>
  <si>
    <t>2025-02-14 16:44:23.976533+00:00</t>
  </si>
  <si>
    <t>2025-02-14T16:44:24Z</t>
  </si>
  <si>
    <t>44.8 (above buttress, 170 cm)</t>
  </si>
  <si>
    <t>2025-02-14 16:44:24.940699+00:00</t>
  </si>
  <si>
    <t>2025-02-14 16:44:24.987940+00:00</t>
  </si>
  <si>
    <t>2025-02-14T16:44:25Z</t>
  </si>
  <si>
    <t>https://app.plutof.ut.ee/observation/view/7388000</t>
  </si>
  <si>
    <t>2025-02-14 17:25:59.098263+00:00</t>
  </si>
  <si>
    <t>2025-02-23T19:54:03Z</t>
  </si>
  <si>
    <t>Resurvey of the Forgathy's plot in February 2025</t>
  </si>
  <si>
    <t>Forgathy’s plot</t>
  </si>
  <si>
    <t>UTM</t>
  </si>
  <si>
    <t>SRID=4326;POINT (-62.20630556 16.76888889)</t>
  </si>
  <si>
    <t>1.9 - Subtropical/Tropical Moist Montane Forest</t>
  </si>
  <si>
    <t>1000test</t>
  </si>
  <si>
    <t>https://app.plutof.ut.ee/observation/view/7393400</t>
  </si>
  <si>
    <t>2025-02-18 17:46:56.650792+00:00</t>
  </si>
  <si>
    <t>2025-02-23T21:02:50Z</t>
  </si>
  <si>
    <t>tree n°28</t>
  </si>
  <si>
    <t>SRID=4326;POINT (-62.20638889 16.76888889)</t>
  </si>
  <si>
    <t>https://app.plutof.ut.ee/observation/view/7395798</t>
  </si>
  <si>
    <t>2025-02-23 22:36:37.124583+00:00</t>
  </si>
  <si>
    <t>2025-02-23T22:54:33Z</t>
  </si>
  <si>
    <t>https://app.plutof.ut.ee/observation/view/7395799</t>
  </si>
  <si>
    <t>2025-02-23 22:51:57.077040+00:00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</si>
</sst>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d/m"/>
  </numFmts>
  <fonts count="24">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2.0"/>
      <color theme="1"/>
      <name val="Aptos Narrow"/>
    </font>
    <font>
      <u/>
      <sz val="12.0"/>
      <color rgb="FF467886"/>
      <name val="Arial"/>
    </font>
    <font>
      <u/>
      <sz val="12.0"/>
      <color rgb="FF0000FF"/>
      <name val="Aptos Narrow"/>
    </font>
    <font>
      <u/>
      <sz val="12.0"/>
      <color rgb="FF467886"/>
      <name val="Aptos Narrow"/>
    </font>
    <font>
      <sz val="12.0"/>
      <color theme="1"/>
      <name val="Arial"/>
    </font>
    <font>
      <u/>
      <sz val="12.0"/>
      <color rgb="FF0000FF"/>
      <name val="Arial"/>
    </font>
    <font>
      <b/>
      <color theme="1"/>
      <name val="Arial"/>
      <scheme val="minor"/>
    </font>
  </fonts>
  <fills count="19">
    <fill>
      <patternFill patternType="none"/>
    </fill>
    <fill>
      <patternFill patternType="lightGray"/>
    </fill>
    <fill>
      <patternFill patternType="solid">
        <fgColor rgb="FFF9CB9C"/>
        <bgColor rgb="FFF9CB9C"/>
      </patternFill>
    </fill>
    <fill>
      <patternFill patternType="solid">
        <fgColor rgb="FFFFF2CC"/>
        <bgColor rgb="FFFFF2CC"/>
      </patternFill>
    </fill>
    <fill>
      <patternFill patternType="solid">
        <fgColor rgb="FFFF0000"/>
        <bgColor rgb="FFFF0000"/>
      </patternFill>
    </fill>
    <fill>
      <patternFill patternType="solid">
        <fgColor rgb="FFEA9999"/>
        <bgColor rgb="FFEA9999"/>
      </patternFill>
    </fill>
    <fill>
      <patternFill patternType="solid">
        <fgColor rgb="FFFFE599"/>
        <bgColor rgb="FFFFE599"/>
      </patternFill>
    </fill>
    <fill>
      <patternFill patternType="solid">
        <fgColor rgb="FFA4C2F4"/>
        <bgColor rgb="FFA4C2F4"/>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CFE2F3"/>
        <bgColor rgb="FFCFE2F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
      <patternFill patternType="solid">
        <fgColor rgb="FFEAD1DC"/>
        <bgColor rgb="FFEAD1DC"/>
      </patternFill>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readingOrder="0"/>
    </xf>
    <xf borderId="0" fillId="0" fontId="1" numFmtId="0" xfId="0" applyFont="1"/>
    <xf borderId="0" fillId="3" fontId="1" numFmtId="0" xfId="0" applyFill="1" applyFont="1"/>
    <xf borderId="0" fillId="3" fontId="1" numFmtId="0" xfId="0" applyAlignment="1" applyFont="1">
      <alignment readingOrder="0"/>
    </xf>
    <xf borderId="0" fillId="3" fontId="1" numFmtId="164" xfId="0" applyAlignment="1" applyFont="1" applyNumberFormat="1">
      <alignment readingOrder="0"/>
    </xf>
    <xf borderId="0" fillId="3" fontId="2" numFmtId="0" xfId="0" applyAlignment="1" applyFont="1">
      <alignment readingOrder="0"/>
    </xf>
    <xf borderId="0" fillId="0" fontId="3" numFmtId="0" xfId="0" applyAlignment="1" applyFont="1">
      <alignment readingOrder="0"/>
    </xf>
    <xf borderId="0" fillId="4" fontId="1" numFmtId="0" xfId="0" applyAlignment="1" applyFill="1" applyFont="1">
      <alignment readingOrder="0"/>
    </xf>
    <xf borderId="0" fillId="5" fontId="1" numFmtId="0" xfId="0" applyFill="1" applyFont="1"/>
    <xf borderId="0" fillId="2" fontId="1" numFmtId="0" xfId="0" applyFont="1"/>
    <xf borderId="0" fillId="6" fontId="1" numFmtId="0" xfId="0" applyFill="1" applyFont="1"/>
    <xf borderId="0" fillId="7" fontId="1" numFmtId="0" xfId="0" applyFill="1" applyFont="1"/>
    <xf borderId="0" fillId="8" fontId="1" numFmtId="0" xfId="0" applyAlignment="1" applyFill="1" applyFont="1">
      <alignment readingOrder="0"/>
    </xf>
    <xf borderId="0" fillId="5" fontId="1" numFmtId="0" xfId="0" applyAlignment="1" applyFont="1">
      <alignment readingOrder="0"/>
    </xf>
    <xf borderId="0" fillId="5" fontId="1" numFmtId="164" xfId="0" applyAlignment="1" applyFont="1" applyNumberFormat="1">
      <alignment readingOrder="0"/>
    </xf>
    <xf borderId="0" fillId="5" fontId="4" numFmtId="0" xfId="0" applyAlignment="1" applyFont="1">
      <alignment readingOrder="0"/>
    </xf>
    <xf borderId="0" fillId="9" fontId="1" numFmtId="0" xfId="0" applyFill="1" applyFont="1"/>
    <xf borderId="0" fillId="2" fontId="1" numFmtId="164" xfId="0" applyAlignment="1" applyFont="1" applyNumberFormat="1">
      <alignment readingOrder="0"/>
    </xf>
    <xf borderId="0" fillId="2" fontId="5" numFmtId="0" xfId="0" applyAlignment="1" applyFont="1">
      <alignment readingOrder="0"/>
    </xf>
    <xf borderId="0" fillId="6" fontId="1" numFmtId="0" xfId="0" applyAlignment="1" applyFont="1">
      <alignment readingOrder="0"/>
    </xf>
    <xf borderId="0" fillId="6" fontId="1" numFmtId="164" xfId="0" applyAlignment="1" applyFont="1" applyNumberFormat="1">
      <alignment readingOrder="0"/>
    </xf>
    <xf borderId="0" fillId="6" fontId="6" numFmtId="0" xfId="0" applyAlignment="1" applyFont="1">
      <alignment readingOrder="0"/>
    </xf>
    <xf borderId="0" fillId="7" fontId="1" numFmtId="0" xfId="0" applyAlignment="1" applyFont="1">
      <alignment readingOrder="0"/>
    </xf>
    <xf borderId="0" fillId="7" fontId="1" numFmtId="164" xfId="0" applyAlignment="1" applyFont="1" applyNumberFormat="1">
      <alignment readingOrder="0"/>
    </xf>
    <xf borderId="0" fillId="10" fontId="1" numFmtId="0" xfId="0" applyFill="1" applyFont="1"/>
    <xf borderId="0" fillId="7" fontId="7" numFmtId="0" xfId="0" applyAlignment="1" applyFont="1">
      <alignment readingOrder="0"/>
    </xf>
    <xf borderId="0" fillId="11" fontId="1" numFmtId="0" xfId="0" applyFill="1" applyFont="1"/>
    <xf borderId="0" fillId="0" fontId="1" numFmtId="165" xfId="0" applyAlignment="1" applyFont="1" applyNumberFormat="1">
      <alignment readingOrder="0"/>
    </xf>
    <xf borderId="0" fillId="12" fontId="1" numFmtId="0" xfId="0" applyFill="1" applyFont="1"/>
    <xf borderId="0" fillId="8" fontId="1" numFmtId="0" xfId="0" applyFont="1"/>
    <xf borderId="0" fillId="9" fontId="1" numFmtId="0" xfId="0" applyAlignment="1" applyFont="1">
      <alignment readingOrder="0"/>
    </xf>
    <xf borderId="0" fillId="9" fontId="1" numFmtId="165" xfId="0" applyAlignment="1" applyFont="1" applyNumberFormat="1">
      <alignment readingOrder="0"/>
    </xf>
    <xf borderId="0" fillId="9" fontId="8" numFmtId="0" xfId="0" applyAlignment="1" applyFont="1">
      <alignment readingOrder="0"/>
    </xf>
    <xf borderId="0" fillId="3" fontId="1" numFmtId="165" xfId="0" applyAlignment="1" applyFont="1" applyNumberFormat="1">
      <alignment readingOrder="0"/>
    </xf>
    <xf borderId="0" fillId="13" fontId="1" numFmtId="0" xfId="0" applyFill="1" applyFont="1"/>
    <xf borderId="0" fillId="14" fontId="1" numFmtId="0" xfId="0" applyFill="1" applyFont="1"/>
    <xf borderId="0" fillId="15" fontId="1" numFmtId="0" xfId="0" applyFill="1" applyFont="1"/>
    <xf borderId="0" fillId="10" fontId="1" numFmtId="0" xfId="0" applyAlignment="1" applyFont="1">
      <alignment readingOrder="0"/>
    </xf>
    <xf borderId="0" fillId="10" fontId="1" numFmtId="164" xfId="0" applyAlignment="1" applyFont="1" applyNumberFormat="1">
      <alignment readingOrder="0"/>
    </xf>
    <xf borderId="0" fillId="10" fontId="9" numFmtId="0" xfId="0" applyAlignment="1" applyFont="1">
      <alignment readingOrder="0"/>
    </xf>
    <xf borderId="0" fillId="11" fontId="1" numFmtId="0" xfId="0" applyAlignment="1" applyFont="1">
      <alignment readingOrder="0"/>
    </xf>
    <xf borderId="0" fillId="11" fontId="1" numFmtId="164" xfId="0" applyAlignment="1" applyFont="1" applyNumberFormat="1">
      <alignment readingOrder="0"/>
    </xf>
    <xf borderId="0" fillId="11" fontId="10" numFmtId="0" xfId="0" applyAlignment="1" applyFont="1">
      <alignment readingOrder="0"/>
    </xf>
    <xf borderId="0" fillId="12" fontId="1" numFmtId="0" xfId="0" applyAlignment="1" applyFont="1">
      <alignment readingOrder="0"/>
    </xf>
    <xf borderId="0" fillId="12" fontId="1" numFmtId="164" xfId="0" applyAlignment="1" applyFont="1" applyNumberFormat="1">
      <alignment readingOrder="0"/>
    </xf>
    <xf borderId="0" fillId="12" fontId="11" numFmtId="0" xfId="0" applyAlignment="1" applyFont="1">
      <alignment readingOrder="0"/>
    </xf>
    <xf borderId="0" fillId="16" fontId="1" numFmtId="0" xfId="0" applyFill="1" applyFont="1"/>
    <xf borderId="0" fillId="8" fontId="1" numFmtId="164" xfId="0" applyAlignment="1" applyFont="1" applyNumberFormat="1">
      <alignment readingOrder="0"/>
    </xf>
    <xf borderId="0" fillId="8" fontId="12" numFmtId="0" xfId="0" applyAlignment="1" applyFont="1">
      <alignment readingOrder="0"/>
    </xf>
    <xf borderId="0" fillId="4" fontId="1" numFmtId="0" xfId="0" applyFont="1"/>
    <xf borderId="0" fillId="13" fontId="1" numFmtId="0" xfId="0" applyAlignment="1" applyFont="1">
      <alignment readingOrder="0"/>
    </xf>
    <xf borderId="0" fillId="13" fontId="1" numFmtId="164" xfId="0" applyAlignment="1" applyFont="1" applyNumberFormat="1">
      <alignment readingOrder="0"/>
    </xf>
    <xf borderId="0" fillId="13" fontId="13" numFmtId="0" xfId="0" applyAlignment="1" applyFont="1">
      <alignment readingOrder="0"/>
    </xf>
    <xf borderId="0" fillId="14" fontId="1" numFmtId="0" xfId="0" applyAlignment="1" applyFont="1">
      <alignment readingOrder="0"/>
    </xf>
    <xf borderId="0" fillId="14" fontId="1" numFmtId="164" xfId="0" applyAlignment="1" applyFont="1" applyNumberFormat="1">
      <alignment readingOrder="0"/>
    </xf>
    <xf borderId="0" fillId="14" fontId="14" numFmtId="0" xfId="0" applyAlignment="1" applyFont="1">
      <alignment readingOrder="0"/>
    </xf>
    <xf borderId="0" fillId="15" fontId="1" numFmtId="0" xfId="0" applyAlignment="1" applyFont="1">
      <alignment readingOrder="0"/>
    </xf>
    <xf borderId="0" fillId="15" fontId="1" numFmtId="164" xfId="0" applyAlignment="1" applyFont="1" applyNumberFormat="1">
      <alignment readingOrder="0"/>
    </xf>
    <xf borderId="0" fillId="15" fontId="15" numFmtId="0" xfId="0" applyAlignment="1" applyFont="1">
      <alignment readingOrder="0"/>
    </xf>
    <xf borderId="0" fillId="16" fontId="1" numFmtId="0" xfId="0" applyAlignment="1" applyFont="1">
      <alignment readingOrder="0"/>
    </xf>
    <xf borderId="0" fillId="16" fontId="1" numFmtId="165" xfId="0" applyAlignment="1" applyFont="1" applyNumberFormat="1">
      <alignment readingOrder="0"/>
    </xf>
    <xf borderId="0" fillId="16" fontId="16" numFmtId="0" xfId="0" applyAlignment="1" applyFont="1">
      <alignment readingOrder="0"/>
    </xf>
    <xf borderId="0" fillId="17" fontId="1" numFmtId="0" xfId="0" applyAlignment="1" applyFill="1" applyFont="1">
      <alignment readingOrder="0"/>
    </xf>
    <xf borderId="0" fillId="18" fontId="1" numFmtId="0" xfId="0" applyAlignment="1" applyFill="1" applyFont="1">
      <alignment readingOrder="0"/>
    </xf>
    <xf borderId="0" fillId="0" fontId="1" numFmtId="0" xfId="0" applyAlignment="1" applyFont="1">
      <alignment horizontal="left" readingOrder="0" shrinkToFit="0" vertical="center" wrapText="0"/>
    </xf>
    <xf borderId="0" fillId="0" fontId="17" numFmtId="0" xfId="0" applyAlignment="1" applyFont="1">
      <alignment vertical="bottom"/>
    </xf>
    <xf borderId="0" fillId="0" fontId="17" numFmtId="0" xfId="0" applyAlignment="1" applyFont="1">
      <alignment horizontal="right" vertical="bottom"/>
    </xf>
    <xf borderId="0" fillId="0" fontId="18" numFmtId="0" xfId="0" applyAlignment="1" applyFont="1">
      <alignment vertical="bottom"/>
    </xf>
    <xf borderId="0" fillId="0" fontId="19" numFmtId="0" xfId="0" applyAlignment="1" applyFont="1">
      <alignment vertical="bottom"/>
    </xf>
    <xf borderId="0" fillId="0" fontId="20" numFmtId="0" xfId="0" applyAlignment="1" applyFont="1">
      <alignment vertical="bottom"/>
    </xf>
    <xf borderId="0" fillId="0" fontId="21" numFmtId="0" xfId="0" applyAlignment="1" applyFont="1">
      <alignment vertical="bottom"/>
    </xf>
    <xf borderId="0" fillId="0" fontId="22" numFmtId="0" xfId="0" applyAlignment="1" applyFont="1">
      <alignment vertical="bottom"/>
    </xf>
    <xf borderId="0" fillId="0" fontId="1" numFmtId="0" xfId="0" applyAlignment="1" applyFont="1">
      <alignment readingOrder="0"/>
    </xf>
    <xf borderId="0" fillId="0" fontId="1" numFmtId="0" xfId="0" applyAlignment="1" applyFont="1">
      <alignment readingOrder="0"/>
    </xf>
    <xf borderId="0" fillId="0" fontId="23" numFmtId="0" xfId="0" applyAlignment="1" applyFont="1">
      <alignment readingOrder="0"/>
    </xf>
    <xf borderId="0" fillId="0" fontId="1" numFmtId="9"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orgathysplotmap-style">
      <tableStyleElement dxfId="1" type="headerRow"/>
      <tableStyleElement dxfId="2" type="firstRowStripe"/>
      <tableStyleElement dxfId="3" type="secondRowStripe"/>
      <tableStyleElement dxfId="4" size="0" type="wholeTable"/>
    </tableStyle>
    <tableStyle count="2" pivot="0" name="bottomlessplotmap-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1" displayName="Table2" name="Table2" id="1">
  <tableColumns count="6">
    <tableColumn name="Column1" id="1"/>
    <tableColumn name="Column2" id="2"/>
    <tableColumn name="Column3" id="3"/>
    <tableColumn name="Column4" id="4"/>
    <tableColumn name="Column5" id="5"/>
    <tableColumn name="Column6" id="6"/>
  </tableColumns>
  <tableStyleInfo name="forgathysplotmap-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E21:F21" displayName="Table_1" name="Table_1" id="2">
  <tableColumns count="2">
    <tableColumn name="Column1" id="1"/>
    <tableColumn name="Column2" id="2"/>
  </tableColumns>
  <tableStyleInfo name="bottomlessplotma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3.hpc.ut.ee/plutof-public/large/b3cacad9-af48-4eec-9ed7-e98489af663b.jpg" TargetMode="External"/><Relationship Id="rId84" Type="http://schemas.openxmlformats.org/officeDocument/2006/relationships/hyperlink" Target="https://app.plutof.ut.ee/observation/view/7386104" TargetMode="External"/><Relationship Id="rId83" Type="http://schemas.openxmlformats.org/officeDocument/2006/relationships/hyperlink" Target="https://app.plutof.ut.ee/observation/view/7386134" TargetMode="External"/><Relationship Id="rId42" Type="http://schemas.openxmlformats.org/officeDocument/2006/relationships/hyperlink" Target="https://app.plutof.ut.ee/observation/view/7386026" TargetMode="External"/><Relationship Id="rId86" Type="http://schemas.openxmlformats.org/officeDocument/2006/relationships/hyperlink" Target="https://app.plutof.ut.ee/observation/view/7386116" TargetMode="External"/><Relationship Id="rId41" Type="http://schemas.openxmlformats.org/officeDocument/2006/relationships/hyperlink" Target="https://app.plutof.ut.ee/observation/view/6802007" TargetMode="External"/><Relationship Id="rId85" Type="http://schemas.openxmlformats.org/officeDocument/2006/relationships/hyperlink" Target="https://app.plutof.ut.ee/observation/view/7386107" TargetMode="External"/><Relationship Id="rId44" Type="http://schemas.openxmlformats.org/officeDocument/2006/relationships/hyperlink" Target="https://app.plutof.ut.ee/observation/view/7386022" TargetMode="External"/><Relationship Id="rId88" Type="http://schemas.openxmlformats.org/officeDocument/2006/relationships/hyperlink" Target="https://app.plutof.ut.ee/observation/view/7386115" TargetMode="External"/><Relationship Id="rId43" Type="http://schemas.openxmlformats.org/officeDocument/2006/relationships/hyperlink" Target="https://app.plutof.ut.ee/observation/view/7386020" TargetMode="External"/><Relationship Id="rId87" Type="http://schemas.openxmlformats.org/officeDocument/2006/relationships/hyperlink" Target="https://app.plutof.ut.ee/observation/view/7386094" TargetMode="External"/><Relationship Id="rId46" Type="http://schemas.openxmlformats.org/officeDocument/2006/relationships/hyperlink" Target="https://s3.hpc.ut.ee/plutof-public/large/d9d641dd-ad60-45e0-b8d7-099cded05188.jpg" TargetMode="External"/><Relationship Id="rId45" Type="http://schemas.openxmlformats.org/officeDocument/2006/relationships/hyperlink" Target="https://app.plutof.ut.ee/observation/view/7386019" TargetMode="External"/><Relationship Id="rId89" Type="http://schemas.openxmlformats.org/officeDocument/2006/relationships/hyperlink" Target="https://app.plutof.ut.ee/observation/view/7386117" TargetMode="External"/><Relationship Id="rId80" Type="http://schemas.openxmlformats.org/officeDocument/2006/relationships/hyperlink" Target="https://app.plutof.ut.ee/observation/view/7386021" TargetMode="External"/><Relationship Id="rId82" Type="http://schemas.openxmlformats.org/officeDocument/2006/relationships/hyperlink" Target="https://app.plutof.ut.ee/observation/view/7386108" TargetMode="External"/><Relationship Id="rId81" Type="http://schemas.openxmlformats.org/officeDocument/2006/relationships/hyperlink" Target="https://app.plutof.ut.ee/observation/view/7386126" TargetMode="External"/><Relationship Id="rId1" Type="http://schemas.openxmlformats.org/officeDocument/2006/relationships/hyperlink" Target="https://s3.hpc.ut.ee/plutof-public/large/4506a7f8-4a28-454f-aa04-d876202ef992.jpg" TargetMode="External"/><Relationship Id="rId2" Type="http://schemas.openxmlformats.org/officeDocument/2006/relationships/hyperlink" Target="https://app.plutof.ut.ee/observation/view/6802001" TargetMode="External"/><Relationship Id="rId3" Type="http://schemas.openxmlformats.org/officeDocument/2006/relationships/hyperlink" Target="https://app.plutof.ut.ee/observation/view/7386114" TargetMode="External"/><Relationship Id="rId4" Type="http://schemas.openxmlformats.org/officeDocument/2006/relationships/hyperlink" Target="https://app.plutof.ut.ee/observation/view/7386113" TargetMode="External"/><Relationship Id="rId9" Type="http://schemas.openxmlformats.org/officeDocument/2006/relationships/hyperlink" Target="https://app.plutof.ut.ee/observation/view/7386123" TargetMode="External"/><Relationship Id="rId48" Type="http://schemas.openxmlformats.org/officeDocument/2006/relationships/hyperlink" Target="https://app.plutof.ut.ee/observation/view/7386112" TargetMode="External"/><Relationship Id="rId47" Type="http://schemas.openxmlformats.org/officeDocument/2006/relationships/hyperlink" Target="https://app.plutof.ut.ee/observation/view/6801996" TargetMode="External"/><Relationship Id="rId49" Type="http://schemas.openxmlformats.org/officeDocument/2006/relationships/hyperlink" Target="https://s3.hpc.ut.ee/plutof-public/large/389f1d36-7e7b-4a39-a202-315d9462802f.jpg" TargetMode="External"/><Relationship Id="rId5" Type="http://schemas.openxmlformats.org/officeDocument/2006/relationships/hyperlink" Target="https://app.plutof.ut.ee/observation/view/7386105" TargetMode="External"/><Relationship Id="rId6" Type="http://schemas.openxmlformats.org/officeDocument/2006/relationships/hyperlink" Target="https://app.plutof.ut.ee/observation/view/7386125" TargetMode="External"/><Relationship Id="rId7" Type="http://schemas.openxmlformats.org/officeDocument/2006/relationships/hyperlink" Target="https://app.plutof.ut.ee/observation/view/7386135" TargetMode="External"/><Relationship Id="rId8" Type="http://schemas.openxmlformats.org/officeDocument/2006/relationships/hyperlink" Target="https://app.plutof.ut.ee/observation/view/7386132" TargetMode="External"/><Relationship Id="rId73" Type="http://schemas.openxmlformats.org/officeDocument/2006/relationships/hyperlink" Target="https://s3.hpc.ut.ee/plutof-public/large/32962be7-fd77-4e83-82cb-e74769a22c18.jpg" TargetMode="External"/><Relationship Id="rId72" Type="http://schemas.openxmlformats.org/officeDocument/2006/relationships/hyperlink" Target="https://app.plutof.ut.ee/observation/view/7386088" TargetMode="External"/><Relationship Id="rId31" Type="http://schemas.openxmlformats.org/officeDocument/2006/relationships/hyperlink" Target="https://app.plutof.ut.ee/observation/view/7386093" TargetMode="External"/><Relationship Id="rId75" Type="http://schemas.openxmlformats.org/officeDocument/2006/relationships/hyperlink" Target="https://app.plutof.ut.ee/observation/view/7386023" TargetMode="External"/><Relationship Id="rId30" Type="http://schemas.openxmlformats.org/officeDocument/2006/relationships/hyperlink" Target="https://app.plutof.ut.ee/observation/view/6802004" TargetMode="External"/><Relationship Id="rId74" Type="http://schemas.openxmlformats.org/officeDocument/2006/relationships/hyperlink" Target="https://app.plutof.ut.ee/observation/view/6801997" TargetMode="External"/><Relationship Id="rId33" Type="http://schemas.openxmlformats.org/officeDocument/2006/relationships/hyperlink" Target="https://app.plutof.ut.ee/observation/view/6801993" TargetMode="External"/><Relationship Id="rId77" Type="http://schemas.openxmlformats.org/officeDocument/2006/relationships/hyperlink" Target="https://app.plutof.ut.ee/observation/view/7386024" TargetMode="External"/><Relationship Id="rId32" Type="http://schemas.openxmlformats.org/officeDocument/2006/relationships/hyperlink" Target="https://s3.hpc.ut.ee/plutof-public/large/d2f77e59-116c-457b-b2c5-f9086eb2d924.jpg" TargetMode="External"/><Relationship Id="rId76" Type="http://schemas.openxmlformats.org/officeDocument/2006/relationships/hyperlink" Target="https://app.plutof.ut.ee/observation/view/7386025" TargetMode="External"/><Relationship Id="rId35" Type="http://schemas.openxmlformats.org/officeDocument/2006/relationships/hyperlink" Target="https://app.plutof.ut.ee/observation/view/7386138" TargetMode="External"/><Relationship Id="rId79" Type="http://schemas.openxmlformats.org/officeDocument/2006/relationships/hyperlink" Target="https://app.plutof.ut.ee/observation/view/6801995" TargetMode="External"/><Relationship Id="rId34" Type="http://schemas.openxmlformats.org/officeDocument/2006/relationships/hyperlink" Target="https://app.plutof.ut.ee/observation/view/7386128" TargetMode="External"/><Relationship Id="rId78" Type="http://schemas.openxmlformats.org/officeDocument/2006/relationships/hyperlink" Target="https://s3.hpc.ut.ee/plutof-public/large/4be7c9c5-f79c-4c3e-9be4-12c52823bf5c.jpg" TargetMode="External"/><Relationship Id="rId71" Type="http://schemas.openxmlformats.org/officeDocument/2006/relationships/hyperlink" Target="https://app.plutof.ut.ee/observation/view/6802009" TargetMode="External"/><Relationship Id="rId70" Type="http://schemas.openxmlformats.org/officeDocument/2006/relationships/hyperlink" Target="https://s3.hpc.ut.ee/plutof-public/large/b8b3f76d-8cc7-476d-877b-ba0068b5d159.jpg" TargetMode="External"/><Relationship Id="rId37" Type="http://schemas.openxmlformats.org/officeDocument/2006/relationships/hyperlink" Target="https://app.plutof.ut.ee/observation/view/7386089" TargetMode="External"/><Relationship Id="rId36" Type="http://schemas.openxmlformats.org/officeDocument/2006/relationships/hyperlink" Target="https://app.plutof.ut.ee/observation/view/7386085" TargetMode="External"/><Relationship Id="rId39" Type="http://schemas.openxmlformats.org/officeDocument/2006/relationships/hyperlink" Target="https://app.plutof.ut.ee/observation/view/7386131" TargetMode="External"/><Relationship Id="rId38" Type="http://schemas.openxmlformats.org/officeDocument/2006/relationships/hyperlink" Target="https://app.plutof.ut.ee/observation/view/7386086" TargetMode="External"/><Relationship Id="rId62" Type="http://schemas.openxmlformats.org/officeDocument/2006/relationships/hyperlink" Target="https://app.plutof.ut.ee/observation/view/7386098" TargetMode="External"/><Relationship Id="rId61" Type="http://schemas.openxmlformats.org/officeDocument/2006/relationships/hyperlink" Target="https://app.plutof.ut.ee/observation/view/7386133" TargetMode="External"/><Relationship Id="rId20" Type="http://schemas.openxmlformats.org/officeDocument/2006/relationships/hyperlink" Target="https://s3.hpc.ut.ee/plutof-public/large/4905d2d9-326f-46a5-8efc-feb37973e2f8.jpg" TargetMode="External"/><Relationship Id="rId64" Type="http://schemas.openxmlformats.org/officeDocument/2006/relationships/hyperlink" Target="https://s3.hpc.ut.ee/plutof-public/large/24032468-b454-4129-b0d2-12d6e81881b8.jpg" TargetMode="External"/><Relationship Id="rId63" Type="http://schemas.openxmlformats.org/officeDocument/2006/relationships/hyperlink" Target="https://app.plutof.ut.ee/observation/view/7386099" TargetMode="External"/><Relationship Id="rId22" Type="http://schemas.openxmlformats.org/officeDocument/2006/relationships/hyperlink" Target="https://app.plutof.ut.ee/observation/view/7386097" TargetMode="External"/><Relationship Id="rId66" Type="http://schemas.openxmlformats.org/officeDocument/2006/relationships/hyperlink" Target="https://app.plutof.ut.ee/observation/view/7386101" TargetMode="External"/><Relationship Id="rId21" Type="http://schemas.openxmlformats.org/officeDocument/2006/relationships/hyperlink" Target="https://app.plutof.ut.ee/observation/view/6801999" TargetMode="External"/><Relationship Id="rId65" Type="http://schemas.openxmlformats.org/officeDocument/2006/relationships/hyperlink" Target="https://app.plutof.ut.ee/observation/view/6802003" TargetMode="External"/><Relationship Id="rId24" Type="http://schemas.openxmlformats.org/officeDocument/2006/relationships/hyperlink" Target="https://app.plutof.ut.ee/observation/view/6802008" TargetMode="External"/><Relationship Id="rId68" Type="http://schemas.openxmlformats.org/officeDocument/2006/relationships/hyperlink" Target="https://app.plutof.ut.ee/observation/view/6802000" TargetMode="External"/><Relationship Id="rId23" Type="http://schemas.openxmlformats.org/officeDocument/2006/relationships/hyperlink" Target="https://s3.hpc.ut.ee/plutof-public/large/0bb89784-062e-4242-bff2-624638b74617.jpg" TargetMode="External"/><Relationship Id="rId67" Type="http://schemas.openxmlformats.org/officeDocument/2006/relationships/hyperlink" Target="https://s3.hpc.ut.ee/plutof-public/large/495aed78-a5b8-4669-bdf1-a519201ce1d6.jpg" TargetMode="External"/><Relationship Id="rId60" Type="http://schemas.openxmlformats.org/officeDocument/2006/relationships/hyperlink" Target="https://app.plutof.ut.ee/observation/view/6801998" TargetMode="External"/><Relationship Id="rId26" Type="http://schemas.openxmlformats.org/officeDocument/2006/relationships/hyperlink" Target="https://s3.hpc.ut.ee/plutof-public/large/22997af7-4860-4ce2-8968-e0063ac5160e.jpg" TargetMode="External"/><Relationship Id="rId25" Type="http://schemas.openxmlformats.org/officeDocument/2006/relationships/hyperlink" Target="https://app.plutof.ut.ee/observation/view/7386092" TargetMode="External"/><Relationship Id="rId69" Type="http://schemas.openxmlformats.org/officeDocument/2006/relationships/hyperlink" Target="https://app.plutof.ut.ee/observation/view/7386096" TargetMode="External"/><Relationship Id="rId28" Type="http://schemas.openxmlformats.org/officeDocument/2006/relationships/hyperlink" Target="https://app.plutof.ut.ee/observation/view/7386109" TargetMode="External"/><Relationship Id="rId27" Type="http://schemas.openxmlformats.org/officeDocument/2006/relationships/hyperlink" Target="https://app.plutof.ut.ee/observation/view/6802005" TargetMode="External"/><Relationship Id="rId29" Type="http://schemas.openxmlformats.org/officeDocument/2006/relationships/hyperlink" Target="https://s3.hpc.ut.ee/plutof-public/large/27036dbe-91aa-4b64-b98c-fabe398eec75.jpg" TargetMode="External"/><Relationship Id="rId51" Type="http://schemas.openxmlformats.org/officeDocument/2006/relationships/hyperlink" Target="https://app.plutof.ut.ee/observation/view/7386106" TargetMode="External"/><Relationship Id="rId50" Type="http://schemas.openxmlformats.org/officeDocument/2006/relationships/hyperlink" Target="https://app.plutof.ut.ee/observation/view/6802002" TargetMode="External"/><Relationship Id="rId53" Type="http://schemas.openxmlformats.org/officeDocument/2006/relationships/hyperlink" Target="https://app.plutof.ut.ee/observation/view/6801994" TargetMode="External"/><Relationship Id="rId52" Type="http://schemas.openxmlformats.org/officeDocument/2006/relationships/hyperlink" Target="https://s3.hpc.ut.ee/plutof-public/large/c33d4f1e-537b-40e3-9bd0-64006ef8afa1.jpg" TargetMode="External"/><Relationship Id="rId11" Type="http://schemas.openxmlformats.org/officeDocument/2006/relationships/hyperlink" Target="https://app.plutof.ut.ee/observation/view/7386124" TargetMode="External"/><Relationship Id="rId55" Type="http://schemas.openxmlformats.org/officeDocument/2006/relationships/hyperlink" Target="https://www.inaturalist.org/observations/227395174" TargetMode="External"/><Relationship Id="rId10" Type="http://schemas.openxmlformats.org/officeDocument/2006/relationships/hyperlink" Target="https://app.plutof.ut.ee/observation/view/7386122" TargetMode="External"/><Relationship Id="rId54" Type="http://schemas.openxmlformats.org/officeDocument/2006/relationships/hyperlink" Target="https://app.plutof.ut.ee/observation/view/7386103" TargetMode="External"/><Relationship Id="rId13" Type="http://schemas.openxmlformats.org/officeDocument/2006/relationships/hyperlink" Target="https://app.plutof.ut.ee/observation/view/7386087" TargetMode="External"/><Relationship Id="rId57" Type="http://schemas.openxmlformats.org/officeDocument/2006/relationships/hyperlink" Target="https://app.plutof.ut.ee/observation/view/6802006" TargetMode="External"/><Relationship Id="rId12" Type="http://schemas.openxmlformats.org/officeDocument/2006/relationships/hyperlink" Target="https://app.plutof.ut.ee/observation/view/7386130" TargetMode="External"/><Relationship Id="rId56" Type="http://schemas.openxmlformats.org/officeDocument/2006/relationships/hyperlink" Target="https://s3.hpc.ut.ee/plutof-public/large/0c4382e9-811a-4819-b27d-26f7efcc2952.jpg" TargetMode="External"/><Relationship Id="rId91" Type="http://schemas.openxmlformats.org/officeDocument/2006/relationships/drawing" Target="../drawings/drawing1.xml"/><Relationship Id="rId90" Type="http://schemas.openxmlformats.org/officeDocument/2006/relationships/hyperlink" Target="https://app.plutof.ut.ee/observation/view/7386091" TargetMode="External"/><Relationship Id="rId15" Type="http://schemas.openxmlformats.org/officeDocument/2006/relationships/hyperlink" Target="https://app.plutof.ut.ee/observation/view/7386102" TargetMode="External"/><Relationship Id="rId59" Type="http://schemas.openxmlformats.org/officeDocument/2006/relationships/hyperlink" Target="https://s3.hpc.ut.ee/plutof-public/large/b9b2b0a3-cf82-49a9-8443-148c9d0f0406.jpg" TargetMode="External"/><Relationship Id="rId14" Type="http://schemas.openxmlformats.org/officeDocument/2006/relationships/hyperlink" Target="https://app.plutof.ut.ee/observation/view/7386127" TargetMode="External"/><Relationship Id="rId58" Type="http://schemas.openxmlformats.org/officeDocument/2006/relationships/hyperlink" Target="https://app.plutof.ut.ee/observation/view/7386110" TargetMode="External"/><Relationship Id="rId17" Type="http://schemas.openxmlformats.org/officeDocument/2006/relationships/hyperlink" Target="https://app.plutof.ut.ee/observation/view/7386100" TargetMode="External"/><Relationship Id="rId16" Type="http://schemas.openxmlformats.org/officeDocument/2006/relationships/hyperlink" Target="https://app.plutof.ut.ee/observation/view/7386090" TargetMode="External"/><Relationship Id="rId19" Type="http://schemas.openxmlformats.org/officeDocument/2006/relationships/hyperlink" Target="https://app.plutof.ut.ee/observation/view/7386095" TargetMode="External"/><Relationship Id="rId18" Type="http://schemas.openxmlformats.org/officeDocument/2006/relationships/hyperlink" Target="https://app.plutof.ut.ee/observation/view/738608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aturalist.org/observations/261371710" TargetMode="External"/><Relationship Id="rId2" Type="http://schemas.openxmlformats.org/officeDocument/2006/relationships/hyperlink" Target="https://www.inaturalist.org/observations/261371710" TargetMode="External"/><Relationship Id="rId3" Type="http://schemas.openxmlformats.org/officeDocument/2006/relationships/hyperlink" Target="https://www.inaturalist.org/observations/261371661" TargetMode="External"/><Relationship Id="rId4" Type="http://schemas.openxmlformats.org/officeDocument/2006/relationships/hyperlink" Target="https://www.inaturalist.org/observations/261371661" TargetMode="External"/><Relationship Id="rId9" Type="http://schemas.openxmlformats.org/officeDocument/2006/relationships/hyperlink" Target="https://www.inaturalist.org/observations/261371669" TargetMode="External"/><Relationship Id="rId5" Type="http://schemas.openxmlformats.org/officeDocument/2006/relationships/hyperlink" Target="https://www.inaturalist.org/observations/261371678" TargetMode="External"/><Relationship Id="rId6" Type="http://schemas.openxmlformats.org/officeDocument/2006/relationships/hyperlink" Target="https://www.inaturalist.org/observations/261371678" TargetMode="External"/><Relationship Id="rId7" Type="http://schemas.openxmlformats.org/officeDocument/2006/relationships/hyperlink" Target="https://www.inaturalist.org/observations/261375817" TargetMode="External"/><Relationship Id="rId8" Type="http://schemas.openxmlformats.org/officeDocument/2006/relationships/hyperlink" Target="https://www.inaturalist.org/observations/261375817" TargetMode="External"/><Relationship Id="rId20" Type="http://schemas.openxmlformats.org/officeDocument/2006/relationships/hyperlink" Target="https://www.inaturalist.org/observations/261371931" TargetMode="External"/><Relationship Id="rId22" Type="http://schemas.openxmlformats.org/officeDocument/2006/relationships/hyperlink" Target="https://www.inaturalist.org/observations/261372001" TargetMode="External"/><Relationship Id="rId21" Type="http://schemas.openxmlformats.org/officeDocument/2006/relationships/hyperlink" Target="https://www.inaturalist.org/observations/261372001" TargetMode="External"/><Relationship Id="rId24" Type="http://schemas.openxmlformats.org/officeDocument/2006/relationships/hyperlink" Target="https://www.inaturalist.org/observations/261372030" TargetMode="External"/><Relationship Id="rId23" Type="http://schemas.openxmlformats.org/officeDocument/2006/relationships/hyperlink" Target="https://www.inaturalist.org/observations/261372030" TargetMode="External"/><Relationship Id="rId25" Type="http://schemas.openxmlformats.org/officeDocument/2006/relationships/drawing" Target="../drawings/drawing4.xml"/><Relationship Id="rId11" Type="http://schemas.openxmlformats.org/officeDocument/2006/relationships/hyperlink" Target="https://www.inaturalist.org/observations/261371842" TargetMode="External"/><Relationship Id="rId10" Type="http://schemas.openxmlformats.org/officeDocument/2006/relationships/hyperlink" Target="https://www.inaturalist.org/observations/261371669" TargetMode="External"/><Relationship Id="rId13" Type="http://schemas.openxmlformats.org/officeDocument/2006/relationships/hyperlink" Target="https://www.inaturalist.org/observations/261375791" TargetMode="External"/><Relationship Id="rId12" Type="http://schemas.openxmlformats.org/officeDocument/2006/relationships/hyperlink" Target="https://www.inaturalist.org/observations/261371842" TargetMode="External"/><Relationship Id="rId15" Type="http://schemas.openxmlformats.org/officeDocument/2006/relationships/hyperlink" Target="https://www.inaturalist.org/observations/261371561" TargetMode="External"/><Relationship Id="rId14" Type="http://schemas.openxmlformats.org/officeDocument/2006/relationships/hyperlink" Target="https://www.inaturalist.org/observations/261375791" TargetMode="External"/><Relationship Id="rId17" Type="http://schemas.openxmlformats.org/officeDocument/2006/relationships/hyperlink" Target="https://www.inaturalist.org/observations/261371701" TargetMode="External"/><Relationship Id="rId16" Type="http://schemas.openxmlformats.org/officeDocument/2006/relationships/hyperlink" Target="https://www.inaturalist.org/observations/261371561" TargetMode="External"/><Relationship Id="rId19" Type="http://schemas.openxmlformats.org/officeDocument/2006/relationships/hyperlink" Target="https://www.inaturalist.org/observations/261371931" TargetMode="External"/><Relationship Id="rId18" Type="http://schemas.openxmlformats.org/officeDocument/2006/relationships/hyperlink" Target="https://www.inaturalist.org/observations/26137170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plutof.ut.ee/observation/view/7387979" TargetMode="External"/><Relationship Id="rId2" Type="http://schemas.openxmlformats.org/officeDocument/2006/relationships/hyperlink" Target="https://app.plutof.ut.ee/observation/view/7387983" TargetMode="External"/><Relationship Id="rId3" Type="http://schemas.openxmlformats.org/officeDocument/2006/relationships/hyperlink" Target="https://app.plutof.ut.ee/observation/view/7387995" TargetMode="External"/><Relationship Id="rId4" Type="http://schemas.openxmlformats.org/officeDocument/2006/relationships/hyperlink" Target="https://app.plutof.ut.ee/observation/view/7387987" TargetMode="External"/><Relationship Id="rId9" Type="http://schemas.openxmlformats.org/officeDocument/2006/relationships/hyperlink" Target="https://app.plutof.ut.ee/observation/view/7387985" TargetMode="External"/><Relationship Id="rId5" Type="http://schemas.openxmlformats.org/officeDocument/2006/relationships/hyperlink" Target="https://app.plutof.ut.ee/observation/view/7387991" TargetMode="External"/><Relationship Id="rId6" Type="http://schemas.openxmlformats.org/officeDocument/2006/relationships/hyperlink" Target="https://app.plutof.ut.ee/observation/view/7387996" TargetMode="External"/><Relationship Id="rId7" Type="http://schemas.openxmlformats.org/officeDocument/2006/relationships/hyperlink" Target="https://app.plutof.ut.ee/observation/view/7387981" TargetMode="External"/><Relationship Id="rId8" Type="http://schemas.openxmlformats.org/officeDocument/2006/relationships/hyperlink" Target="https://app.plutof.ut.ee/observation/view/7387988" TargetMode="External"/><Relationship Id="rId20" Type="http://schemas.openxmlformats.org/officeDocument/2006/relationships/hyperlink" Target="https://app.plutof.ut.ee/observation/view/7387989" TargetMode="External"/><Relationship Id="rId21" Type="http://schemas.openxmlformats.org/officeDocument/2006/relationships/drawing" Target="../drawings/drawing7.xml"/><Relationship Id="rId11" Type="http://schemas.openxmlformats.org/officeDocument/2006/relationships/hyperlink" Target="https://app.plutof.ut.ee/observation/view/7387992" TargetMode="External"/><Relationship Id="rId10" Type="http://schemas.openxmlformats.org/officeDocument/2006/relationships/hyperlink" Target="https://app.plutof.ut.ee/observation/view/7387986" TargetMode="External"/><Relationship Id="rId13" Type="http://schemas.openxmlformats.org/officeDocument/2006/relationships/hyperlink" Target="https://app.plutof.ut.ee/observation/view/7387980" TargetMode="External"/><Relationship Id="rId12" Type="http://schemas.openxmlformats.org/officeDocument/2006/relationships/hyperlink" Target="https://app.plutof.ut.ee/observation/view/7387984" TargetMode="External"/><Relationship Id="rId15" Type="http://schemas.openxmlformats.org/officeDocument/2006/relationships/hyperlink" Target="https://app.plutof.ut.ee/observation/view/7387993" TargetMode="External"/><Relationship Id="rId14" Type="http://schemas.openxmlformats.org/officeDocument/2006/relationships/hyperlink" Target="https://app.plutof.ut.ee/observation/view/7387994" TargetMode="External"/><Relationship Id="rId17" Type="http://schemas.openxmlformats.org/officeDocument/2006/relationships/hyperlink" Target="https://app.plutof.ut.ee/observation/view/7387997" TargetMode="External"/><Relationship Id="rId16" Type="http://schemas.openxmlformats.org/officeDocument/2006/relationships/hyperlink" Target="https://app.plutof.ut.ee/observation/view/7387982" TargetMode="External"/><Relationship Id="rId19" Type="http://schemas.openxmlformats.org/officeDocument/2006/relationships/hyperlink" Target="https://app.plutof.ut.ee/observation/view/7387990" TargetMode="External"/><Relationship Id="rId18" Type="http://schemas.openxmlformats.org/officeDocument/2006/relationships/hyperlink" Target="https://app.plutof.ut.ee/observation/view/7386107"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app.plutof.ut.ee/observation/view/7386114" TargetMode="External"/><Relationship Id="rId84" Type="http://schemas.openxmlformats.org/officeDocument/2006/relationships/drawing" Target="../drawings/drawing10.xml"/><Relationship Id="rId83" Type="http://schemas.openxmlformats.org/officeDocument/2006/relationships/hyperlink" Target="https://app.plutof.ut.ee/observation/view/7395799" TargetMode="External"/><Relationship Id="rId42" Type="http://schemas.openxmlformats.org/officeDocument/2006/relationships/hyperlink" Target="https://app.plutof.ut.ee/observation/view/7386116" TargetMode="External"/><Relationship Id="rId41" Type="http://schemas.openxmlformats.org/officeDocument/2006/relationships/hyperlink" Target="https://app.plutof.ut.ee/observation/view/7386115" TargetMode="External"/><Relationship Id="rId44" Type="http://schemas.openxmlformats.org/officeDocument/2006/relationships/hyperlink" Target="https://app.plutof.ut.ee/observation/view/7386122" TargetMode="External"/><Relationship Id="rId43" Type="http://schemas.openxmlformats.org/officeDocument/2006/relationships/hyperlink" Target="https://app.plutof.ut.ee/observation/view/7386117" TargetMode="External"/><Relationship Id="rId46" Type="http://schemas.openxmlformats.org/officeDocument/2006/relationships/hyperlink" Target="https://app.plutof.ut.ee/observation/view/7386124" TargetMode="External"/><Relationship Id="rId45" Type="http://schemas.openxmlformats.org/officeDocument/2006/relationships/hyperlink" Target="https://app.plutof.ut.ee/observation/view/7386123" TargetMode="External"/><Relationship Id="rId80" Type="http://schemas.openxmlformats.org/officeDocument/2006/relationships/hyperlink" Target="https://app.plutof.ut.ee/observation/view/7388000" TargetMode="External"/><Relationship Id="rId82" Type="http://schemas.openxmlformats.org/officeDocument/2006/relationships/hyperlink" Target="https://app.plutof.ut.ee/observation/view/7395798" TargetMode="External"/><Relationship Id="rId81" Type="http://schemas.openxmlformats.org/officeDocument/2006/relationships/hyperlink" Target="https://app.plutof.ut.ee/observation/view/7393400" TargetMode="External"/><Relationship Id="rId1" Type="http://schemas.openxmlformats.org/officeDocument/2006/relationships/hyperlink" Target="https://app.plutof.ut.ee/observation/view/7386019" TargetMode="External"/><Relationship Id="rId2" Type="http://schemas.openxmlformats.org/officeDocument/2006/relationships/hyperlink" Target="https://app.plutof.ut.ee/observation/view/7386020" TargetMode="External"/><Relationship Id="rId3" Type="http://schemas.openxmlformats.org/officeDocument/2006/relationships/hyperlink" Target="https://app.plutof.ut.ee/observation/view/7386021" TargetMode="External"/><Relationship Id="rId4" Type="http://schemas.openxmlformats.org/officeDocument/2006/relationships/hyperlink" Target="https://app.plutof.ut.ee/observation/view/7386022" TargetMode="External"/><Relationship Id="rId9" Type="http://schemas.openxmlformats.org/officeDocument/2006/relationships/hyperlink" Target="https://app.plutof.ut.ee/observation/view/7386027" TargetMode="External"/><Relationship Id="rId48" Type="http://schemas.openxmlformats.org/officeDocument/2006/relationships/hyperlink" Target="https://app.plutof.ut.ee/observation/view/7386126" TargetMode="External"/><Relationship Id="rId47" Type="http://schemas.openxmlformats.org/officeDocument/2006/relationships/hyperlink" Target="https://app.plutof.ut.ee/observation/view/7386125" TargetMode="External"/><Relationship Id="rId49" Type="http://schemas.openxmlformats.org/officeDocument/2006/relationships/hyperlink" Target="https://app.plutof.ut.ee/observation/view/7386127" TargetMode="External"/><Relationship Id="rId5" Type="http://schemas.openxmlformats.org/officeDocument/2006/relationships/hyperlink" Target="https://app.plutof.ut.ee/observation/view/7386023" TargetMode="External"/><Relationship Id="rId6" Type="http://schemas.openxmlformats.org/officeDocument/2006/relationships/hyperlink" Target="https://app.plutof.ut.ee/observation/view/7386024" TargetMode="External"/><Relationship Id="rId7" Type="http://schemas.openxmlformats.org/officeDocument/2006/relationships/hyperlink" Target="https://app.plutof.ut.ee/observation/view/7386025" TargetMode="External"/><Relationship Id="rId8" Type="http://schemas.openxmlformats.org/officeDocument/2006/relationships/hyperlink" Target="https://app.plutof.ut.ee/observation/view/7386026" TargetMode="External"/><Relationship Id="rId73" Type="http://schemas.openxmlformats.org/officeDocument/2006/relationships/hyperlink" Target="https://app.plutof.ut.ee/observation/view/7387991" TargetMode="External"/><Relationship Id="rId72" Type="http://schemas.openxmlformats.org/officeDocument/2006/relationships/hyperlink" Target="https://app.plutof.ut.ee/observation/view/7387990" TargetMode="External"/><Relationship Id="rId31" Type="http://schemas.openxmlformats.org/officeDocument/2006/relationships/hyperlink" Target="https://app.plutof.ut.ee/observation/view/7386105" TargetMode="External"/><Relationship Id="rId75" Type="http://schemas.openxmlformats.org/officeDocument/2006/relationships/hyperlink" Target="https://app.plutof.ut.ee/observation/view/7387993" TargetMode="External"/><Relationship Id="rId30" Type="http://schemas.openxmlformats.org/officeDocument/2006/relationships/hyperlink" Target="https://app.plutof.ut.ee/observation/view/7386104" TargetMode="External"/><Relationship Id="rId74" Type="http://schemas.openxmlformats.org/officeDocument/2006/relationships/hyperlink" Target="https://app.plutof.ut.ee/observation/view/7387992" TargetMode="External"/><Relationship Id="rId33" Type="http://schemas.openxmlformats.org/officeDocument/2006/relationships/hyperlink" Target="https://app.plutof.ut.ee/observation/view/7386107" TargetMode="External"/><Relationship Id="rId77" Type="http://schemas.openxmlformats.org/officeDocument/2006/relationships/hyperlink" Target="https://app.plutof.ut.ee/observation/view/7387995" TargetMode="External"/><Relationship Id="rId32" Type="http://schemas.openxmlformats.org/officeDocument/2006/relationships/hyperlink" Target="https://app.plutof.ut.ee/observation/view/7386106" TargetMode="External"/><Relationship Id="rId76" Type="http://schemas.openxmlformats.org/officeDocument/2006/relationships/hyperlink" Target="https://app.plutof.ut.ee/observation/view/7387994" TargetMode="External"/><Relationship Id="rId35" Type="http://schemas.openxmlformats.org/officeDocument/2006/relationships/hyperlink" Target="https://app.plutof.ut.ee/observation/view/7386109" TargetMode="External"/><Relationship Id="rId79" Type="http://schemas.openxmlformats.org/officeDocument/2006/relationships/hyperlink" Target="https://app.plutof.ut.ee/observation/view/7387997" TargetMode="External"/><Relationship Id="rId34" Type="http://schemas.openxmlformats.org/officeDocument/2006/relationships/hyperlink" Target="https://app.plutof.ut.ee/observation/view/7386108" TargetMode="External"/><Relationship Id="rId78" Type="http://schemas.openxmlformats.org/officeDocument/2006/relationships/hyperlink" Target="https://app.plutof.ut.ee/observation/view/7387996" TargetMode="External"/><Relationship Id="rId71" Type="http://schemas.openxmlformats.org/officeDocument/2006/relationships/hyperlink" Target="https://app.plutof.ut.ee/observation/view/7387989" TargetMode="External"/><Relationship Id="rId70" Type="http://schemas.openxmlformats.org/officeDocument/2006/relationships/hyperlink" Target="https://app.plutof.ut.ee/observation/view/7387988" TargetMode="External"/><Relationship Id="rId37" Type="http://schemas.openxmlformats.org/officeDocument/2006/relationships/hyperlink" Target="https://app.plutof.ut.ee/observation/view/7386111" TargetMode="External"/><Relationship Id="rId36" Type="http://schemas.openxmlformats.org/officeDocument/2006/relationships/hyperlink" Target="https://app.plutof.ut.ee/observation/view/7386110" TargetMode="External"/><Relationship Id="rId39" Type="http://schemas.openxmlformats.org/officeDocument/2006/relationships/hyperlink" Target="https://app.plutof.ut.ee/observation/view/7386113" TargetMode="External"/><Relationship Id="rId38" Type="http://schemas.openxmlformats.org/officeDocument/2006/relationships/hyperlink" Target="https://app.plutof.ut.ee/observation/view/7386112" TargetMode="External"/><Relationship Id="rId62" Type="http://schemas.openxmlformats.org/officeDocument/2006/relationships/hyperlink" Target="https://app.plutof.ut.ee/observation/view/7387980" TargetMode="External"/><Relationship Id="rId61" Type="http://schemas.openxmlformats.org/officeDocument/2006/relationships/hyperlink" Target="https://app.plutof.ut.ee/observation/view/7387979" TargetMode="External"/><Relationship Id="rId20" Type="http://schemas.openxmlformats.org/officeDocument/2006/relationships/hyperlink" Target="https://app.plutof.ut.ee/observation/view/7386094" TargetMode="External"/><Relationship Id="rId64" Type="http://schemas.openxmlformats.org/officeDocument/2006/relationships/hyperlink" Target="https://app.plutof.ut.ee/observation/view/7387982" TargetMode="External"/><Relationship Id="rId63" Type="http://schemas.openxmlformats.org/officeDocument/2006/relationships/hyperlink" Target="https://app.plutof.ut.ee/observation/view/7387981" TargetMode="External"/><Relationship Id="rId22" Type="http://schemas.openxmlformats.org/officeDocument/2006/relationships/hyperlink" Target="https://app.plutof.ut.ee/observation/view/7386096" TargetMode="External"/><Relationship Id="rId66" Type="http://schemas.openxmlformats.org/officeDocument/2006/relationships/hyperlink" Target="https://app.plutof.ut.ee/observation/view/7387984" TargetMode="External"/><Relationship Id="rId21" Type="http://schemas.openxmlformats.org/officeDocument/2006/relationships/hyperlink" Target="https://app.plutof.ut.ee/observation/view/7386095" TargetMode="External"/><Relationship Id="rId65" Type="http://schemas.openxmlformats.org/officeDocument/2006/relationships/hyperlink" Target="https://app.plutof.ut.ee/observation/view/7387983" TargetMode="External"/><Relationship Id="rId24" Type="http://schemas.openxmlformats.org/officeDocument/2006/relationships/hyperlink" Target="https://app.plutof.ut.ee/observation/view/7386098" TargetMode="External"/><Relationship Id="rId68" Type="http://schemas.openxmlformats.org/officeDocument/2006/relationships/hyperlink" Target="https://app.plutof.ut.ee/observation/view/7387986" TargetMode="External"/><Relationship Id="rId23" Type="http://schemas.openxmlformats.org/officeDocument/2006/relationships/hyperlink" Target="https://app.plutof.ut.ee/observation/view/7386097" TargetMode="External"/><Relationship Id="rId67" Type="http://schemas.openxmlformats.org/officeDocument/2006/relationships/hyperlink" Target="https://app.plutof.ut.ee/observation/view/7387985" TargetMode="External"/><Relationship Id="rId60" Type="http://schemas.openxmlformats.org/officeDocument/2006/relationships/hyperlink" Target="https://app.plutof.ut.ee/observation/view/7386138" TargetMode="External"/><Relationship Id="rId26" Type="http://schemas.openxmlformats.org/officeDocument/2006/relationships/hyperlink" Target="https://app.plutof.ut.ee/observation/view/7386100" TargetMode="External"/><Relationship Id="rId25" Type="http://schemas.openxmlformats.org/officeDocument/2006/relationships/hyperlink" Target="https://app.plutof.ut.ee/observation/view/7386099" TargetMode="External"/><Relationship Id="rId69" Type="http://schemas.openxmlformats.org/officeDocument/2006/relationships/hyperlink" Target="https://app.plutof.ut.ee/observation/view/7387987" TargetMode="External"/><Relationship Id="rId28" Type="http://schemas.openxmlformats.org/officeDocument/2006/relationships/hyperlink" Target="https://app.plutof.ut.ee/observation/view/7386102" TargetMode="External"/><Relationship Id="rId27" Type="http://schemas.openxmlformats.org/officeDocument/2006/relationships/hyperlink" Target="https://app.plutof.ut.ee/observation/view/7386101" TargetMode="External"/><Relationship Id="rId29" Type="http://schemas.openxmlformats.org/officeDocument/2006/relationships/hyperlink" Target="https://app.plutof.ut.ee/observation/view/7386103" TargetMode="External"/><Relationship Id="rId51" Type="http://schemas.openxmlformats.org/officeDocument/2006/relationships/hyperlink" Target="https://app.plutof.ut.ee/observation/view/7386129" TargetMode="External"/><Relationship Id="rId50" Type="http://schemas.openxmlformats.org/officeDocument/2006/relationships/hyperlink" Target="https://app.plutof.ut.ee/observation/view/7386128" TargetMode="External"/><Relationship Id="rId53" Type="http://schemas.openxmlformats.org/officeDocument/2006/relationships/hyperlink" Target="https://app.plutof.ut.ee/observation/view/7386131" TargetMode="External"/><Relationship Id="rId52" Type="http://schemas.openxmlformats.org/officeDocument/2006/relationships/hyperlink" Target="https://app.plutof.ut.ee/observation/view/7386130" TargetMode="External"/><Relationship Id="rId11" Type="http://schemas.openxmlformats.org/officeDocument/2006/relationships/hyperlink" Target="https://app.plutof.ut.ee/observation/view/7386085" TargetMode="External"/><Relationship Id="rId55" Type="http://schemas.openxmlformats.org/officeDocument/2006/relationships/hyperlink" Target="https://app.plutof.ut.ee/observation/view/7386133" TargetMode="External"/><Relationship Id="rId10" Type="http://schemas.openxmlformats.org/officeDocument/2006/relationships/hyperlink" Target="https://app.plutof.ut.ee/observation/view/7386084" TargetMode="External"/><Relationship Id="rId54" Type="http://schemas.openxmlformats.org/officeDocument/2006/relationships/hyperlink" Target="https://app.plutof.ut.ee/observation/view/7386132" TargetMode="External"/><Relationship Id="rId13" Type="http://schemas.openxmlformats.org/officeDocument/2006/relationships/hyperlink" Target="https://app.plutof.ut.ee/observation/view/7386087" TargetMode="External"/><Relationship Id="rId57" Type="http://schemas.openxmlformats.org/officeDocument/2006/relationships/hyperlink" Target="https://app.plutof.ut.ee/observation/view/7386135" TargetMode="External"/><Relationship Id="rId12" Type="http://schemas.openxmlformats.org/officeDocument/2006/relationships/hyperlink" Target="https://app.plutof.ut.ee/observation/view/7386086" TargetMode="External"/><Relationship Id="rId56" Type="http://schemas.openxmlformats.org/officeDocument/2006/relationships/hyperlink" Target="https://app.plutof.ut.ee/observation/view/7386134" TargetMode="External"/><Relationship Id="rId15" Type="http://schemas.openxmlformats.org/officeDocument/2006/relationships/hyperlink" Target="https://app.plutof.ut.ee/observation/view/7386089" TargetMode="External"/><Relationship Id="rId59" Type="http://schemas.openxmlformats.org/officeDocument/2006/relationships/hyperlink" Target="https://app.plutof.ut.ee/observation/view/7386137" TargetMode="External"/><Relationship Id="rId14" Type="http://schemas.openxmlformats.org/officeDocument/2006/relationships/hyperlink" Target="https://app.plutof.ut.ee/observation/view/7386088" TargetMode="External"/><Relationship Id="rId58" Type="http://schemas.openxmlformats.org/officeDocument/2006/relationships/hyperlink" Target="https://app.plutof.ut.ee/observation/view/7386136" TargetMode="External"/><Relationship Id="rId17" Type="http://schemas.openxmlformats.org/officeDocument/2006/relationships/hyperlink" Target="https://app.plutof.ut.ee/observation/view/7386091" TargetMode="External"/><Relationship Id="rId16" Type="http://schemas.openxmlformats.org/officeDocument/2006/relationships/hyperlink" Target="https://app.plutof.ut.ee/observation/view/7386090" TargetMode="External"/><Relationship Id="rId19" Type="http://schemas.openxmlformats.org/officeDocument/2006/relationships/hyperlink" Target="https://app.plutof.ut.ee/observation/view/7386093" TargetMode="External"/><Relationship Id="rId18" Type="http://schemas.openxmlformats.org/officeDocument/2006/relationships/hyperlink" Target="https://app.plutof.ut.ee/observation/view/73860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7.75"/>
    <col customWidth="1" min="3" max="3" width="37.88"/>
    <col customWidth="1" min="4" max="4" width="40.75"/>
    <col customWidth="1" min="5" max="5" width="14.13"/>
    <col customWidth="1" min="6" max="6" width="12.5"/>
    <col customWidth="1" min="7" max="7" width="14.0"/>
    <col customWidth="1" min="8" max="8" width="7.38"/>
    <col customWidth="1" min="9" max="9" width="9.0"/>
    <col customWidth="1" min="10" max="12" width="40.75"/>
    <col customWidth="1" min="13" max="13" width="24.0"/>
    <col customWidth="1" min="14" max="20" width="40.75"/>
    <col customWidth="1" min="21" max="21" width="16.5"/>
    <col customWidth="1" min="22" max="44" width="40.75"/>
  </cols>
  <sheetData>
    <row r="1">
      <c r="A1" s="1" t="s">
        <v>0</v>
      </c>
      <c r="B1" s="1" t="s">
        <v>1</v>
      </c>
      <c r="C1" s="1" t="s">
        <v>2</v>
      </c>
      <c r="D1" s="1" t="s">
        <v>3</v>
      </c>
      <c r="E1" s="1" t="s">
        <v>4</v>
      </c>
      <c r="F1" s="1" t="s">
        <v>5</v>
      </c>
      <c r="G1" s="1" t="s">
        <v>6</v>
      </c>
      <c r="H1" s="1" t="s">
        <v>7</v>
      </c>
      <c r="I1" s="1" t="s">
        <v>8</v>
      </c>
      <c r="J1" s="1" t="s">
        <v>9</v>
      </c>
      <c r="K1" s="1" t="s">
        <v>10</v>
      </c>
      <c r="L1" s="1" t="s">
        <v>11</v>
      </c>
      <c r="P1" s="1" t="s">
        <v>12</v>
      </c>
    </row>
    <row r="2">
      <c r="A2" s="1">
        <v>20.0</v>
      </c>
      <c r="B2" s="1" t="s">
        <v>13</v>
      </c>
      <c r="C2" s="1" t="s">
        <v>14</v>
      </c>
      <c r="D2" s="2" t="s">
        <v>15</v>
      </c>
      <c r="F2" s="3">
        <v>43125.0</v>
      </c>
      <c r="G2" s="4">
        <v>60.2</v>
      </c>
      <c r="J2" s="1" t="s">
        <v>16</v>
      </c>
      <c r="P2" s="1"/>
    </row>
    <row r="3">
      <c r="A3" s="1">
        <v>20.0</v>
      </c>
      <c r="B3" s="1" t="s">
        <v>17</v>
      </c>
      <c r="D3" s="2" t="s">
        <v>15</v>
      </c>
      <c r="F3" s="3">
        <v>46063.0</v>
      </c>
      <c r="G3" s="4">
        <v>69.39</v>
      </c>
      <c r="AT3" s="5"/>
      <c r="AU3" s="5"/>
      <c r="AV3" s="5"/>
      <c r="AW3" s="5"/>
      <c r="AX3" s="5"/>
      <c r="AY3" s="5"/>
      <c r="AZ3" s="5"/>
      <c r="BA3" s="5"/>
      <c r="BB3" s="5"/>
    </row>
    <row r="4">
      <c r="A4" s="6">
        <v>21.0</v>
      </c>
      <c r="B4" s="6" t="s">
        <v>13</v>
      </c>
      <c r="C4" s="6" t="s">
        <v>18</v>
      </c>
      <c r="D4" s="6" t="s">
        <v>19</v>
      </c>
      <c r="E4" s="5"/>
      <c r="F4" s="7">
        <v>43125.0</v>
      </c>
      <c r="G4" s="6">
        <v>25.5</v>
      </c>
      <c r="H4" s="5"/>
      <c r="I4" s="6"/>
      <c r="J4" s="5"/>
      <c r="K4" s="5"/>
      <c r="L4" s="6"/>
      <c r="M4" s="6"/>
      <c r="N4" s="6"/>
      <c r="O4" s="5"/>
      <c r="P4" s="6"/>
      <c r="Q4" s="6"/>
      <c r="R4" s="5"/>
      <c r="S4" s="5"/>
      <c r="T4" s="5"/>
      <c r="U4" s="6"/>
      <c r="V4" s="5"/>
      <c r="W4" s="6"/>
      <c r="X4" s="6"/>
      <c r="Y4" s="5"/>
      <c r="Z4" s="6"/>
      <c r="AA4" s="6"/>
      <c r="AB4" s="6"/>
      <c r="AC4" s="5"/>
      <c r="AD4" s="5"/>
      <c r="AE4" s="6"/>
      <c r="AF4" s="5"/>
      <c r="AG4" s="6"/>
      <c r="AH4" s="5"/>
      <c r="AI4" s="5"/>
      <c r="AJ4" s="6"/>
      <c r="AK4" s="5"/>
      <c r="AL4" s="5"/>
      <c r="AM4" s="5"/>
      <c r="AN4" s="5"/>
      <c r="AO4" s="5"/>
      <c r="AP4" s="5"/>
      <c r="AQ4" s="5"/>
      <c r="AR4" s="5"/>
      <c r="AS4" s="5"/>
      <c r="AT4" s="5"/>
      <c r="AU4" s="5"/>
      <c r="AV4" s="5"/>
      <c r="AW4" s="5"/>
      <c r="AX4" s="5"/>
      <c r="AY4" s="5"/>
      <c r="AZ4" s="5"/>
      <c r="BA4" s="5"/>
      <c r="BB4" s="5"/>
    </row>
    <row r="5">
      <c r="A5" s="6">
        <v>21.0</v>
      </c>
      <c r="B5" s="6" t="s">
        <v>20</v>
      </c>
      <c r="C5" s="6" t="s">
        <v>18</v>
      </c>
      <c r="D5" s="6" t="s">
        <v>19</v>
      </c>
      <c r="E5" s="5"/>
      <c r="F5" s="7">
        <v>45478.0</v>
      </c>
      <c r="G5" s="6">
        <v>29.1</v>
      </c>
      <c r="H5" s="5"/>
      <c r="I5" s="6">
        <v>1.0</v>
      </c>
      <c r="J5" s="5"/>
      <c r="K5" s="5"/>
      <c r="L5" s="8" t="s">
        <v>21</v>
      </c>
      <c r="M5" s="6" t="s">
        <v>22</v>
      </c>
      <c r="N5" s="6" t="s">
        <v>23</v>
      </c>
      <c r="O5" s="5"/>
      <c r="P5" s="8" t="s">
        <v>24</v>
      </c>
      <c r="Q5" s="6" t="s">
        <v>25</v>
      </c>
      <c r="R5" s="5"/>
      <c r="S5" s="5"/>
      <c r="T5" s="5"/>
      <c r="U5" s="6" t="s">
        <v>20</v>
      </c>
      <c r="V5" s="5"/>
      <c r="W5" s="6">
        <v>16.75115558</v>
      </c>
      <c r="X5" s="6">
        <v>-62.21255802</v>
      </c>
      <c r="Y5" s="5"/>
      <c r="Z5" s="6" t="s">
        <v>26</v>
      </c>
      <c r="AA5" s="6" t="s">
        <v>27</v>
      </c>
      <c r="AB5" s="6" t="s">
        <v>28</v>
      </c>
      <c r="AC5" s="5"/>
      <c r="AD5" s="5"/>
      <c r="AE5" s="6" t="s">
        <v>29</v>
      </c>
      <c r="AF5" s="5"/>
      <c r="AG5" s="6" t="s">
        <v>30</v>
      </c>
      <c r="AH5" s="5"/>
      <c r="AI5" s="5"/>
      <c r="AJ5" s="6" t="s">
        <v>31</v>
      </c>
      <c r="AK5" s="5"/>
      <c r="AL5" s="5"/>
      <c r="AM5" s="5"/>
      <c r="AN5" s="5"/>
      <c r="AO5" s="5"/>
      <c r="AP5" s="5"/>
      <c r="AQ5" s="5"/>
      <c r="AR5" s="5"/>
      <c r="AS5" s="5"/>
      <c r="AT5" s="5"/>
      <c r="AU5" s="5"/>
      <c r="AV5" s="5"/>
      <c r="AW5" s="5"/>
      <c r="AX5" s="5"/>
      <c r="AY5" s="5"/>
      <c r="AZ5" s="5"/>
      <c r="BA5" s="5"/>
      <c r="BB5" s="5"/>
    </row>
    <row r="6">
      <c r="A6" s="5">
        <v>21.0</v>
      </c>
      <c r="B6" s="6" t="s">
        <v>32</v>
      </c>
      <c r="C6" s="6" t="s">
        <v>18</v>
      </c>
      <c r="D6" s="6" t="s">
        <v>19</v>
      </c>
      <c r="E6" s="6" t="s">
        <v>33</v>
      </c>
      <c r="F6" s="7">
        <v>45699.0</v>
      </c>
      <c r="G6" s="6">
        <v>29.9</v>
      </c>
      <c r="H6" s="5"/>
      <c r="I6" s="5"/>
      <c r="J6" s="5"/>
      <c r="K6" s="5"/>
      <c r="L6" s="5"/>
      <c r="M6" s="6" t="s">
        <v>22</v>
      </c>
      <c r="N6" s="6" t="s">
        <v>23</v>
      </c>
      <c r="O6" s="5"/>
      <c r="P6" s="8" t="s">
        <v>34</v>
      </c>
      <c r="Q6" s="6" t="s">
        <v>25</v>
      </c>
      <c r="R6" s="6" t="s">
        <v>35</v>
      </c>
      <c r="S6" s="5"/>
      <c r="T6" s="5"/>
      <c r="U6" s="6" t="s">
        <v>32</v>
      </c>
      <c r="V6" s="5"/>
      <c r="W6" s="6">
        <v>16.7684423</v>
      </c>
      <c r="X6" s="6">
        <v>-62.206555</v>
      </c>
      <c r="Y6" s="5"/>
      <c r="Z6" s="6" t="s">
        <v>26</v>
      </c>
      <c r="AA6" s="6" t="s">
        <v>27</v>
      </c>
      <c r="AB6" s="6" t="s">
        <v>36</v>
      </c>
      <c r="AC6" s="6">
        <v>12.0</v>
      </c>
      <c r="AD6" s="5"/>
      <c r="AE6" s="6" t="s">
        <v>29</v>
      </c>
      <c r="AF6" s="5"/>
      <c r="AG6" s="6" t="s">
        <v>30</v>
      </c>
      <c r="AH6" s="5"/>
      <c r="AI6" s="5"/>
      <c r="AJ6" s="6" t="s">
        <v>37</v>
      </c>
      <c r="AK6" s="5"/>
      <c r="AL6" s="5"/>
      <c r="AM6" s="5"/>
      <c r="AN6" s="6">
        <v>21.0</v>
      </c>
      <c r="AO6" s="5"/>
      <c r="AP6" s="5"/>
      <c r="AQ6" s="5"/>
      <c r="AR6" s="5"/>
      <c r="AS6" s="5"/>
    </row>
    <row r="7">
      <c r="A7" s="6">
        <v>21.0</v>
      </c>
      <c r="B7" s="6" t="s">
        <v>17</v>
      </c>
      <c r="C7" s="6"/>
      <c r="D7" s="6" t="s">
        <v>19</v>
      </c>
      <c r="E7" s="6"/>
      <c r="F7" s="7">
        <v>46063.0</v>
      </c>
      <c r="G7" s="6">
        <v>29.28</v>
      </c>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c r="A8" s="1">
        <v>22.0</v>
      </c>
      <c r="B8" s="1" t="s">
        <v>13</v>
      </c>
      <c r="C8" s="1" t="s">
        <v>18</v>
      </c>
      <c r="D8" s="6" t="s">
        <v>19</v>
      </c>
      <c r="E8" s="1" t="s">
        <v>38</v>
      </c>
      <c r="F8" s="3">
        <v>43125.0</v>
      </c>
      <c r="G8" s="1">
        <v>38.2</v>
      </c>
      <c r="H8" s="1">
        <v>26.7</v>
      </c>
      <c r="J8" s="1" t="s">
        <v>39</v>
      </c>
      <c r="P8" s="1"/>
    </row>
    <row r="9">
      <c r="A9" s="4">
        <v>22.0</v>
      </c>
      <c r="B9" s="1" t="s">
        <v>32</v>
      </c>
      <c r="C9" s="1" t="s">
        <v>18</v>
      </c>
      <c r="D9" s="6" t="s">
        <v>19</v>
      </c>
      <c r="E9" s="1" t="s">
        <v>40</v>
      </c>
      <c r="F9" s="3">
        <v>45699.0</v>
      </c>
      <c r="G9" s="1">
        <v>43.6</v>
      </c>
      <c r="H9" s="4">
        <v>28.33</v>
      </c>
      <c r="M9" s="1" t="s">
        <v>22</v>
      </c>
      <c r="N9" s="1" t="s">
        <v>23</v>
      </c>
      <c r="P9" s="9" t="s">
        <v>41</v>
      </c>
      <c r="Q9" s="1" t="s">
        <v>25</v>
      </c>
      <c r="R9" s="1" t="s">
        <v>42</v>
      </c>
      <c r="U9" s="1" t="s">
        <v>32</v>
      </c>
      <c r="W9" s="1">
        <v>16.7684416</v>
      </c>
      <c r="X9" s="1">
        <v>-62.2065589</v>
      </c>
      <c r="Z9" s="1" t="s">
        <v>26</v>
      </c>
      <c r="AA9" s="1" t="s">
        <v>27</v>
      </c>
      <c r="AB9" s="1" t="s">
        <v>43</v>
      </c>
      <c r="AC9" s="1">
        <v>7.0</v>
      </c>
      <c r="AE9" s="1" t="s">
        <v>29</v>
      </c>
      <c r="AG9" s="1" t="s">
        <v>30</v>
      </c>
      <c r="AJ9" s="1" t="s">
        <v>44</v>
      </c>
      <c r="AN9" s="1">
        <v>22.0</v>
      </c>
    </row>
    <row r="10">
      <c r="A10" s="1">
        <v>22.0</v>
      </c>
      <c r="B10" s="1" t="s">
        <v>17</v>
      </c>
      <c r="D10" s="6" t="s">
        <v>19</v>
      </c>
      <c r="F10" s="3">
        <v>46063.0</v>
      </c>
      <c r="G10" s="4">
        <v>43.29</v>
      </c>
      <c r="H10" s="4">
        <v>27.69</v>
      </c>
      <c r="AT10" s="6"/>
      <c r="AU10" s="6"/>
      <c r="AV10" s="6"/>
      <c r="AW10" s="6"/>
      <c r="AX10" s="6"/>
      <c r="AY10" s="6"/>
      <c r="AZ10" s="6"/>
      <c r="BA10" s="6"/>
      <c r="BB10" s="6"/>
    </row>
    <row r="11">
      <c r="A11" s="1">
        <v>23.0</v>
      </c>
      <c r="B11" s="1" t="s">
        <v>13</v>
      </c>
      <c r="C11" s="1" t="s">
        <v>45</v>
      </c>
      <c r="D11" s="6" t="s">
        <v>46</v>
      </c>
      <c r="E11" s="1" t="s">
        <v>38</v>
      </c>
      <c r="F11" s="3">
        <v>43125.0</v>
      </c>
      <c r="G11" s="1">
        <v>17.5</v>
      </c>
      <c r="J11" s="1" t="s">
        <v>47</v>
      </c>
      <c r="P11" s="1"/>
      <c r="AT11" s="5"/>
      <c r="AU11" s="5"/>
      <c r="AV11" s="5"/>
      <c r="AW11" s="5"/>
      <c r="AX11" s="5"/>
      <c r="AY11" s="5"/>
      <c r="AZ11" s="5"/>
      <c r="BA11" s="5"/>
      <c r="BB11" s="5"/>
    </row>
    <row r="12">
      <c r="A12" s="4">
        <v>23.0</v>
      </c>
      <c r="B12" s="1" t="s">
        <v>32</v>
      </c>
      <c r="C12" s="1" t="s">
        <v>48</v>
      </c>
      <c r="D12" s="6" t="s">
        <v>46</v>
      </c>
      <c r="E12" s="1" t="s">
        <v>49</v>
      </c>
      <c r="F12" s="3">
        <v>45699.0</v>
      </c>
      <c r="J12" s="1" t="s">
        <v>50</v>
      </c>
      <c r="K12" s="1" t="s">
        <v>50</v>
      </c>
      <c r="P12" s="9" t="s">
        <v>51</v>
      </c>
      <c r="Q12" s="1" t="s">
        <v>52</v>
      </c>
      <c r="R12" s="1" t="s">
        <v>53</v>
      </c>
      <c r="U12" s="1" t="s">
        <v>32</v>
      </c>
      <c r="W12" s="1">
        <v>16.7684393</v>
      </c>
      <c r="X12" s="1">
        <v>-62.2065341</v>
      </c>
      <c r="Z12" s="1" t="s">
        <v>26</v>
      </c>
      <c r="AA12" s="1" t="s">
        <v>27</v>
      </c>
      <c r="AB12" s="1" t="s">
        <v>43</v>
      </c>
      <c r="AC12" s="1">
        <v>8.0</v>
      </c>
      <c r="AE12" s="1" t="s">
        <v>29</v>
      </c>
      <c r="AG12" s="1" t="s">
        <v>30</v>
      </c>
      <c r="AJ12" s="1" t="s">
        <v>54</v>
      </c>
      <c r="AN12" s="1">
        <v>23.0</v>
      </c>
      <c r="AT12" s="5"/>
      <c r="AU12" s="5"/>
      <c r="AV12" s="5"/>
      <c r="AW12" s="5"/>
      <c r="AX12" s="5"/>
      <c r="AY12" s="5"/>
      <c r="AZ12" s="5"/>
      <c r="BA12" s="5"/>
      <c r="BB12" s="5"/>
    </row>
    <row r="13">
      <c r="A13" s="1">
        <v>23.0</v>
      </c>
      <c r="B13" s="1" t="s">
        <v>17</v>
      </c>
      <c r="D13" s="6" t="s">
        <v>46</v>
      </c>
      <c r="F13" s="3">
        <v>46063.0</v>
      </c>
      <c r="J13" s="1" t="s">
        <v>50</v>
      </c>
      <c r="K13" s="1" t="s">
        <v>50</v>
      </c>
    </row>
    <row r="14">
      <c r="A14" s="6">
        <v>24.0</v>
      </c>
      <c r="B14" s="6" t="s">
        <v>13</v>
      </c>
      <c r="C14" s="6" t="s">
        <v>18</v>
      </c>
      <c r="D14" s="6" t="s">
        <v>19</v>
      </c>
      <c r="E14" s="6"/>
      <c r="F14" s="7">
        <v>43125.0</v>
      </c>
      <c r="G14" s="6">
        <v>33.7</v>
      </c>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row>
    <row r="15">
      <c r="A15" s="6">
        <v>24.0</v>
      </c>
      <c r="B15" s="6" t="s">
        <v>55</v>
      </c>
      <c r="C15" s="6" t="s">
        <v>18</v>
      </c>
      <c r="D15" s="6" t="s">
        <v>19</v>
      </c>
      <c r="E15" s="5" t="s">
        <v>56</v>
      </c>
      <c r="F15" s="7">
        <v>45699.0</v>
      </c>
      <c r="G15" s="6">
        <v>37.0</v>
      </c>
      <c r="H15" s="5"/>
      <c r="I15" s="6"/>
      <c r="J15" s="5"/>
      <c r="K15" s="5"/>
      <c r="L15" s="6"/>
      <c r="M15" s="6" t="s">
        <v>22</v>
      </c>
      <c r="N15" s="6" t="s">
        <v>23</v>
      </c>
      <c r="O15" s="5"/>
      <c r="P15" s="8" t="s">
        <v>57</v>
      </c>
      <c r="Q15" s="6" t="s">
        <v>25</v>
      </c>
      <c r="R15" s="5" t="s">
        <v>58</v>
      </c>
      <c r="S15" s="5"/>
      <c r="T15" s="5"/>
      <c r="U15" s="6" t="s">
        <v>55</v>
      </c>
      <c r="V15" s="5"/>
      <c r="W15" s="6">
        <v>16.76860754</v>
      </c>
      <c r="X15" s="6">
        <v>-62.20657107</v>
      </c>
      <c r="Y15" s="5"/>
      <c r="Z15" s="6" t="s">
        <v>26</v>
      </c>
      <c r="AA15" s="6" t="s">
        <v>27</v>
      </c>
      <c r="AB15" s="6" t="s">
        <v>59</v>
      </c>
      <c r="AC15" s="5">
        <v>6.0</v>
      </c>
      <c r="AD15" s="5"/>
      <c r="AE15" s="6" t="s">
        <v>29</v>
      </c>
      <c r="AF15" s="5"/>
      <c r="AG15" s="6" t="s">
        <v>59</v>
      </c>
      <c r="AH15" s="5"/>
      <c r="AI15" s="5"/>
      <c r="AJ15" s="6" t="s">
        <v>60</v>
      </c>
      <c r="AK15" s="5"/>
      <c r="AL15" s="5"/>
      <c r="AM15" s="5"/>
      <c r="AN15" s="5">
        <v>24.0</v>
      </c>
      <c r="AO15" s="5"/>
      <c r="AP15" s="5"/>
      <c r="AQ15" s="5"/>
      <c r="AR15" s="5"/>
      <c r="AS15" s="5"/>
    </row>
    <row r="16">
      <c r="A16" s="6">
        <v>24.0</v>
      </c>
      <c r="B16" s="6" t="s">
        <v>17</v>
      </c>
      <c r="C16" s="6"/>
      <c r="D16" s="6" t="s">
        <v>19</v>
      </c>
      <c r="E16" s="6"/>
      <c r="F16" s="7">
        <v>46063.0</v>
      </c>
      <c r="G16" s="6">
        <v>37.24</v>
      </c>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row>
    <row r="17">
      <c r="A17" s="1">
        <v>25.0</v>
      </c>
      <c r="B17" s="1" t="s">
        <v>13</v>
      </c>
      <c r="C17" s="1" t="s">
        <v>61</v>
      </c>
      <c r="D17" s="10" t="s">
        <v>62</v>
      </c>
      <c r="F17" s="3">
        <v>43125.0</v>
      </c>
      <c r="G17" s="1">
        <v>25.8</v>
      </c>
      <c r="J17" s="1" t="s">
        <v>63</v>
      </c>
      <c r="P17" s="1"/>
    </row>
    <row r="18">
      <c r="A18" s="4">
        <v>25.0</v>
      </c>
      <c r="B18" s="1" t="s">
        <v>55</v>
      </c>
      <c r="C18" s="1" t="s">
        <v>48</v>
      </c>
      <c r="D18" s="10" t="s">
        <v>62</v>
      </c>
      <c r="E18" s="1" t="s">
        <v>64</v>
      </c>
      <c r="F18" s="3">
        <v>45699.0</v>
      </c>
      <c r="G18" s="1">
        <v>27.1</v>
      </c>
      <c r="P18" s="9" t="s">
        <v>65</v>
      </c>
      <c r="Q18" s="1" t="s">
        <v>52</v>
      </c>
      <c r="R18" s="3">
        <v>45699.0</v>
      </c>
      <c r="S18" s="3">
        <v>45706.0</v>
      </c>
      <c r="T18" s="1" t="s">
        <v>66</v>
      </c>
      <c r="U18" s="1" t="s">
        <v>55</v>
      </c>
      <c r="V18" s="1" t="s">
        <v>59</v>
      </c>
      <c r="W18" s="1">
        <v>16.76852674</v>
      </c>
      <c r="X18" s="1">
        <v>-62.20648558</v>
      </c>
      <c r="Z18" s="1" t="s">
        <v>26</v>
      </c>
      <c r="AA18" s="1" t="s">
        <v>27</v>
      </c>
      <c r="AB18" s="1" t="s">
        <v>67</v>
      </c>
      <c r="AD18" s="1" t="s">
        <v>68</v>
      </c>
      <c r="AE18" s="1" t="s">
        <v>29</v>
      </c>
      <c r="AG18" s="1" t="s">
        <v>59</v>
      </c>
      <c r="AJ18" s="1" t="s">
        <v>69</v>
      </c>
      <c r="AN18" s="1">
        <v>25.0</v>
      </c>
    </row>
    <row r="19">
      <c r="A19" s="1">
        <v>25.0</v>
      </c>
      <c r="B19" s="1" t="s">
        <v>17</v>
      </c>
      <c r="D19" s="10" t="s">
        <v>62</v>
      </c>
      <c r="F19" s="3">
        <v>46063.0</v>
      </c>
      <c r="G19" s="4">
        <v>26.26</v>
      </c>
    </row>
    <row r="20">
      <c r="A20" s="6">
        <v>26.0</v>
      </c>
      <c r="B20" s="6" t="s">
        <v>13</v>
      </c>
      <c r="C20" s="6" t="s">
        <v>70</v>
      </c>
      <c r="D20" s="6" t="s">
        <v>71</v>
      </c>
      <c r="E20" s="6" t="s">
        <v>38</v>
      </c>
      <c r="F20" s="7">
        <v>43125.0</v>
      </c>
      <c r="G20" s="6">
        <v>34.7</v>
      </c>
      <c r="H20" s="6"/>
      <c r="I20" s="6"/>
      <c r="J20" s="6" t="s">
        <v>72</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row>
    <row r="21">
      <c r="A21" s="6">
        <v>26.0</v>
      </c>
      <c r="B21" s="6" t="s">
        <v>55</v>
      </c>
      <c r="C21" s="6" t="s">
        <v>71</v>
      </c>
      <c r="D21" s="6" t="s">
        <v>71</v>
      </c>
      <c r="E21" s="6" t="s">
        <v>73</v>
      </c>
      <c r="F21" s="7">
        <v>45699.0</v>
      </c>
      <c r="G21" s="6">
        <v>36.2</v>
      </c>
      <c r="H21" s="6"/>
      <c r="I21" s="6"/>
      <c r="J21" s="6"/>
      <c r="K21" s="6"/>
      <c r="L21" s="6"/>
      <c r="M21" s="6" t="s">
        <v>74</v>
      </c>
      <c r="N21" s="6" t="s">
        <v>75</v>
      </c>
      <c r="O21" s="6"/>
      <c r="P21" s="8" t="s">
        <v>76</v>
      </c>
      <c r="Q21" s="6" t="s">
        <v>25</v>
      </c>
      <c r="R21" s="6" t="s">
        <v>77</v>
      </c>
      <c r="S21" s="6"/>
      <c r="T21" s="6"/>
      <c r="U21" s="6" t="s">
        <v>55</v>
      </c>
      <c r="V21" s="6"/>
      <c r="W21" s="6">
        <v>16.76860754</v>
      </c>
      <c r="X21" s="6">
        <v>-62.20657107</v>
      </c>
      <c r="Y21" s="6"/>
      <c r="Z21" s="6" t="s">
        <v>26</v>
      </c>
      <c r="AA21" s="6" t="s">
        <v>27</v>
      </c>
      <c r="AB21" s="6" t="s">
        <v>59</v>
      </c>
      <c r="AC21" s="6">
        <v>6.0</v>
      </c>
      <c r="AD21" s="6"/>
      <c r="AE21" s="6" t="s">
        <v>29</v>
      </c>
      <c r="AF21" s="6"/>
      <c r="AG21" s="6" t="s">
        <v>59</v>
      </c>
      <c r="AH21" s="6"/>
      <c r="AI21" s="6"/>
      <c r="AJ21" s="6" t="s">
        <v>60</v>
      </c>
      <c r="AK21" s="6"/>
      <c r="AL21" s="6"/>
      <c r="AM21" s="6"/>
      <c r="AN21" s="6">
        <v>26.0</v>
      </c>
      <c r="AO21" s="6"/>
      <c r="AP21" s="6"/>
      <c r="AQ21" s="6"/>
      <c r="AR21" s="6"/>
      <c r="AS21" s="6"/>
      <c r="AT21" s="6"/>
      <c r="AU21" s="6"/>
      <c r="AV21" s="6"/>
      <c r="AW21" s="6"/>
      <c r="AX21" s="6"/>
      <c r="AY21" s="6"/>
      <c r="AZ21" s="6"/>
      <c r="BA21" s="6"/>
      <c r="BB21" s="6"/>
    </row>
    <row r="22">
      <c r="A22" s="6">
        <v>26.0</v>
      </c>
      <c r="B22" s="6" t="s">
        <v>17</v>
      </c>
      <c r="C22" s="6"/>
      <c r="D22" s="6" t="s">
        <v>71</v>
      </c>
      <c r="E22" s="6"/>
      <c r="F22" s="7">
        <v>46063.0</v>
      </c>
      <c r="G22" s="6">
        <v>36.61</v>
      </c>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row>
    <row r="23">
      <c r="A23" s="1">
        <v>27.0</v>
      </c>
      <c r="B23" s="1" t="s">
        <v>13</v>
      </c>
      <c r="C23" s="1" t="s">
        <v>78</v>
      </c>
      <c r="D23" s="1" t="s">
        <v>79</v>
      </c>
      <c r="E23" s="1" t="s">
        <v>38</v>
      </c>
      <c r="F23" s="3">
        <v>43125.0</v>
      </c>
      <c r="G23" s="1">
        <v>9.2</v>
      </c>
      <c r="H23" s="1">
        <v>7.3</v>
      </c>
      <c r="P23" s="1"/>
    </row>
    <row r="24">
      <c r="A24" s="4">
        <v>27.0</v>
      </c>
      <c r="B24" s="1" t="s">
        <v>55</v>
      </c>
      <c r="C24" s="1" t="s">
        <v>78</v>
      </c>
      <c r="D24" s="1" t="s">
        <v>79</v>
      </c>
      <c r="E24" s="1" t="s">
        <v>56</v>
      </c>
      <c r="F24" s="3">
        <v>45699.0</v>
      </c>
      <c r="G24" s="1">
        <v>9.7</v>
      </c>
      <c r="J24" s="1" t="s">
        <v>80</v>
      </c>
      <c r="M24" s="1" t="s">
        <v>81</v>
      </c>
      <c r="N24" s="1" t="s">
        <v>82</v>
      </c>
      <c r="P24" s="9" t="s">
        <v>83</v>
      </c>
      <c r="Q24" s="1" t="s">
        <v>25</v>
      </c>
      <c r="R24" s="1" t="s">
        <v>84</v>
      </c>
      <c r="U24" s="1" t="s">
        <v>55</v>
      </c>
      <c r="W24" s="1">
        <v>16.76875133</v>
      </c>
      <c r="X24" s="1">
        <v>-62.20662489</v>
      </c>
      <c r="Z24" s="1" t="s">
        <v>26</v>
      </c>
      <c r="AA24" s="1" t="s">
        <v>27</v>
      </c>
      <c r="AB24" s="1" t="s">
        <v>59</v>
      </c>
      <c r="AC24" s="1">
        <v>27.0</v>
      </c>
      <c r="AE24" s="1" t="s">
        <v>29</v>
      </c>
      <c r="AG24" s="1" t="s">
        <v>59</v>
      </c>
      <c r="AJ24" s="1" t="s">
        <v>85</v>
      </c>
      <c r="AN24" s="1">
        <v>27.0</v>
      </c>
    </row>
    <row r="25">
      <c r="A25" s="1">
        <v>27.0</v>
      </c>
      <c r="B25" s="1" t="s">
        <v>17</v>
      </c>
      <c r="D25" s="1" t="s">
        <v>79</v>
      </c>
      <c r="F25" s="3">
        <v>46063.0</v>
      </c>
      <c r="G25" s="4">
        <v>9.87</v>
      </c>
    </row>
    <row r="26">
      <c r="A26" s="6">
        <v>28.0</v>
      </c>
      <c r="B26" s="6" t="s">
        <v>13</v>
      </c>
      <c r="C26" s="6" t="s">
        <v>45</v>
      </c>
      <c r="D26" s="6" t="s">
        <v>46</v>
      </c>
      <c r="E26" s="6"/>
      <c r="F26" s="7">
        <v>43125.0</v>
      </c>
      <c r="G26" s="6">
        <v>11.5</v>
      </c>
      <c r="H26" s="6"/>
      <c r="I26" s="6"/>
      <c r="J26" s="6" t="s">
        <v>72</v>
      </c>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row>
    <row r="27">
      <c r="A27" s="6">
        <v>28.0</v>
      </c>
      <c r="B27" s="6" t="s">
        <v>17</v>
      </c>
      <c r="C27" s="6"/>
      <c r="D27" s="6" t="s">
        <v>46</v>
      </c>
      <c r="E27" s="6"/>
      <c r="F27" s="7">
        <v>46063.0</v>
      </c>
      <c r="G27" s="6"/>
      <c r="H27" s="6"/>
      <c r="I27" s="6"/>
      <c r="J27" s="6" t="s">
        <v>50</v>
      </c>
      <c r="K27" s="6" t="s">
        <v>50</v>
      </c>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row>
    <row r="28">
      <c r="A28" s="1">
        <v>29.0</v>
      </c>
      <c r="B28" s="1" t="s">
        <v>13</v>
      </c>
      <c r="C28" s="1" t="s">
        <v>18</v>
      </c>
      <c r="D28" s="6" t="s">
        <v>19</v>
      </c>
      <c r="F28" s="3">
        <v>43125.0</v>
      </c>
      <c r="G28" s="1">
        <v>33.7</v>
      </c>
      <c r="P28" s="1"/>
    </row>
    <row r="29">
      <c r="A29" s="4">
        <v>29.0</v>
      </c>
      <c r="B29" s="1" t="s">
        <v>55</v>
      </c>
      <c r="C29" s="1" t="s">
        <v>18</v>
      </c>
      <c r="D29" s="6" t="s">
        <v>19</v>
      </c>
      <c r="E29" s="1" t="s">
        <v>56</v>
      </c>
      <c r="F29" s="3">
        <v>45699.0</v>
      </c>
      <c r="G29" s="1">
        <v>36.6</v>
      </c>
      <c r="M29" s="1" t="s">
        <v>22</v>
      </c>
      <c r="N29" s="1" t="s">
        <v>23</v>
      </c>
      <c r="P29" s="9" t="s">
        <v>86</v>
      </c>
      <c r="Q29" s="1" t="s">
        <v>25</v>
      </c>
      <c r="R29" s="1" t="s">
        <v>87</v>
      </c>
      <c r="U29" s="1" t="s">
        <v>55</v>
      </c>
      <c r="W29" s="1">
        <v>16.76868998</v>
      </c>
      <c r="X29" s="1">
        <v>-62.20654937</v>
      </c>
      <c r="Z29" s="1" t="s">
        <v>26</v>
      </c>
      <c r="AA29" s="1" t="s">
        <v>27</v>
      </c>
      <c r="AB29" s="1" t="s">
        <v>59</v>
      </c>
      <c r="AC29" s="1">
        <v>27.0</v>
      </c>
      <c r="AE29" s="1" t="s">
        <v>29</v>
      </c>
      <c r="AG29" s="1" t="s">
        <v>59</v>
      </c>
      <c r="AJ29" s="1" t="s">
        <v>88</v>
      </c>
      <c r="AN29" s="1">
        <v>29.0</v>
      </c>
    </row>
    <row r="30">
      <c r="A30" s="1">
        <v>29.0</v>
      </c>
      <c r="B30" s="1" t="s">
        <v>17</v>
      </c>
      <c r="D30" s="6" t="s">
        <v>19</v>
      </c>
      <c r="F30" s="3">
        <v>46063.0</v>
      </c>
      <c r="G30" s="4">
        <v>36.61</v>
      </c>
    </row>
    <row r="31">
      <c r="A31" s="6">
        <v>30.0</v>
      </c>
      <c r="B31" s="6" t="s">
        <v>13</v>
      </c>
      <c r="C31" s="6" t="s">
        <v>45</v>
      </c>
      <c r="D31" s="6" t="s">
        <v>46</v>
      </c>
      <c r="E31" s="6"/>
      <c r="F31" s="7">
        <v>43125.0</v>
      </c>
      <c r="G31" s="6">
        <v>11.5</v>
      </c>
      <c r="H31" s="6"/>
      <c r="I31" s="6"/>
      <c r="J31" s="6" t="s">
        <v>72</v>
      </c>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row>
    <row r="32">
      <c r="A32" s="6">
        <v>30.0</v>
      </c>
      <c r="B32" s="6" t="s">
        <v>55</v>
      </c>
      <c r="C32" s="6" t="s">
        <v>89</v>
      </c>
      <c r="D32" s="6" t="s">
        <v>46</v>
      </c>
      <c r="E32" s="6" t="s">
        <v>56</v>
      </c>
      <c r="F32" s="7">
        <v>45699.0</v>
      </c>
      <c r="G32" s="6">
        <v>13.3</v>
      </c>
      <c r="H32" s="6"/>
      <c r="I32" s="6"/>
      <c r="J32" s="6"/>
      <c r="K32" s="6"/>
      <c r="L32" s="6"/>
      <c r="M32" s="6" t="s">
        <v>90</v>
      </c>
      <c r="N32" s="6" t="s">
        <v>91</v>
      </c>
      <c r="O32" s="6"/>
      <c r="P32" s="8" t="s">
        <v>92</v>
      </c>
      <c r="Q32" s="6" t="s">
        <v>25</v>
      </c>
      <c r="R32" s="6" t="s">
        <v>93</v>
      </c>
      <c r="S32" s="6"/>
      <c r="T32" s="6"/>
      <c r="U32" s="6" t="s">
        <v>55</v>
      </c>
      <c r="V32" s="6"/>
      <c r="W32" s="6">
        <v>16.76875133</v>
      </c>
      <c r="X32" s="6">
        <v>-62.20662489</v>
      </c>
      <c r="Y32" s="6"/>
      <c r="Z32" s="6" t="s">
        <v>26</v>
      </c>
      <c r="AA32" s="6" t="s">
        <v>27</v>
      </c>
      <c r="AB32" s="6" t="s">
        <v>59</v>
      </c>
      <c r="AC32" s="6">
        <v>27.0</v>
      </c>
      <c r="AD32" s="6"/>
      <c r="AE32" s="6" t="s">
        <v>29</v>
      </c>
      <c r="AF32" s="6"/>
      <c r="AG32" s="6" t="s">
        <v>59</v>
      </c>
      <c r="AH32" s="6"/>
      <c r="AI32" s="6"/>
      <c r="AJ32" s="6" t="s">
        <v>85</v>
      </c>
      <c r="AK32" s="6"/>
      <c r="AL32" s="6"/>
      <c r="AM32" s="6"/>
      <c r="AN32" s="6">
        <v>30.0</v>
      </c>
      <c r="AO32" s="6"/>
      <c r="AP32" s="6"/>
      <c r="AQ32" s="6"/>
      <c r="AR32" s="6"/>
      <c r="AS32" s="6"/>
      <c r="AT32" s="6"/>
      <c r="AU32" s="6"/>
      <c r="AV32" s="6"/>
      <c r="AW32" s="6"/>
      <c r="AX32" s="6"/>
      <c r="AY32" s="6"/>
      <c r="AZ32" s="6"/>
      <c r="BA32" s="6"/>
      <c r="BB32" s="6"/>
    </row>
    <row r="33">
      <c r="A33" s="6">
        <v>30.0</v>
      </c>
      <c r="B33" s="6" t="s">
        <v>17</v>
      </c>
      <c r="C33" s="6"/>
      <c r="D33" s="6" t="s">
        <v>46</v>
      </c>
      <c r="E33" s="6"/>
      <c r="F33" s="7">
        <v>46063.0</v>
      </c>
      <c r="G33" s="6">
        <v>13.69</v>
      </c>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row>
    <row r="34">
      <c r="A34" s="1">
        <v>31.0</v>
      </c>
      <c r="B34" s="1" t="s">
        <v>13</v>
      </c>
      <c r="C34" s="1" t="s">
        <v>70</v>
      </c>
      <c r="D34" s="10" t="s">
        <v>71</v>
      </c>
      <c r="F34" s="3">
        <v>43125.0</v>
      </c>
      <c r="G34" s="1">
        <v>25.1</v>
      </c>
      <c r="J34" s="1" t="s">
        <v>72</v>
      </c>
      <c r="P34" s="1"/>
    </row>
    <row r="35">
      <c r="A35" s="4">
        <v>31.0</v>
      </c>
      <c r="B35" s="1" t="s">
        <v>55</v>
      </c>
      <c r="C35" s="1" t="s">
        <v>71</v>
      </c>
      <c r="D35" s="1" t="s">
        <v>71</v>
      </c>
      <c r="E35" s="1" t="s">
        <v>73</v>
      </c>
      <c r="F35" s="3">
        <v>45699.0</v>
      </c>
      <c r="G35" s="1">
        <v>30.0</v>
      </c>
      <c r="M35" s="1" t="s">
        <v>74</v>
      </c>
      <c r="N35" s="1" t="s">
        <v>75</v>
      </c>
      <c r="P35" s="9" t="s">
        <v>94</v>
      </c>
      <c r="Q35" s="1" t="s">
        <v>25</v>
      </c>
      <c r="R35" s="1" t="s">
        <v>95</v>
      </c>
      <c r="U35" s="1" t="s">
        <v>55</v>
      </c>
      <c r="W35" s="1">
        <v>16.76862233</v>
      </c>
      <c r="X35" s="1">
        <v>-62.20666026</v>
      </c>
      <c r="Z35" s="1" t="s">
        <v>26</v>
      </c>
      <c r="AA35" s="1" t="s">
        <v>27</v>
      </c>
      <c r="AB35" s="1" t="s">
        <v>59</v>
      </c>
      <c r="AC35" s="1">
        <v>14.0</v>
      </c>
      <c r="AE35" s="1" t="s">
        <v>29</v>
      </c>
      <c r="AG35" s="1" t="s">
        <v>59</v>
      </c>
      <c r="AJ35" s="1" t="s">
        <v>96</v>
      </c>
      <c r="AN35" s="1">
        <v>31.0</v>
      </c>
    </row>
    <row r="36">
      <c r="A36" s="1">
        <v>31.0</v>
      </c>
      <c r="B36" s="1" t="s">
        <v>17</v>
      </c>
      <c r="D36" s="10" t="s">
        <v>71</v>
      </c>
      <c r="F36" s="3">
        <v>46063.0</v>
      </c>
      <c r="G36" s="4">
        <v>30.88</v>
      </c>
    </row>
    <row r="37">
      <c r="A37" s="6">
        <v>32.0</v>
      </c>
      <c r="B37" s="6" t="s">
        <v>13</v>
      </c>
      <c r="C37" s="6" t="s">
        <v>70</v>
      </c>
      <c r="D37" s="6" t="s">
        <v>71</v>
      </c>
      <c r="E37" s="6"/>
      <c r="F37" s="7">
        <v>43125.0</v>
      </c>
      <c r="G37" s="6">
        <v>20.4</v>
      </c>
      <c r="H37" s="6"/>
      <c r="I37" s="6"/>
      <c r="J37" s="6" t="s">
        <v>97</v>
      </c>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row>
    <row r="38">
      <c r="A38" s="6">
        <v>32.0</v>
      </c>
      <c r="B38" s="6" t="s">
        <v>32</v>
      </c>
      <c r="C38" s="6" t="s">
        <v>71</v>
      </c>
      <c r="D38" s="6" t="s">
        <v>71</v>
      </c>
      <c r="E38" s="6" t="s">
        <v>98</v>
      </c>
      <c r="F38" s="7">
        <v>45699.0</v>
      </c>
      <c r="G38" s="6">
        <v>21.0</v>
      </c>
      <c r="H38" s="6"/>
      <c r="I38" s="6"/>
      <c r="J38" s="6"/>
      <c r="K38" s="6"/>
      <c r="L38" s="6"/>
      <c r="M38" s="6" t="s">
        <v>74</v>
      </c>
      <c r="N38" s="6" t="s">
        <v>75</v>
      </c>
      <c r="O38" s="6"/>
      <c r="P38" s="8" t="s">
        <v>99</v>
      </c>
      <c r="Q38" s="6" t="s">
        <v>25</v>
      </c>
      <c r="R38" s="6" t="s">
        <v>100</v>
      </c>
      <c r="S38" s="6"/>
      <c r="T38" s="6"/>
      <c r="U38" s="6" t="s">
        <v>32</v>
      </c>
      <c r="V38" s="6"/>
      <c r="W38" s="6">
        <v>16.7685853</v>
      </c>
      <c r="X38" s="6">
        <v>-62.2066298</v>
      </c>
      <c r="Y38" s="6"/>
      <c r="Z38" s="6" t="s">
        <v>26</v>
      </c>
      <c r="AA38" s="6" t="s">
        <v>27</v>
      </c>
      <c r="AB38" s="6" t="s">
        <v>43</v>
      </c>
      <c r="AC38" s="6">
        <v>8.0</v>
      </c>
      <c r="AD38" s="6"/>
      <c r="AE38" s="6" t="s">
        <v>29</v>
      </c>
      <c r="AF38" s="6"/>
      <c r="AG38" s="6" t="s">
        <v>30</v>
      </c>
      <c r="AH38" s="6"/>
      <c r="AI38" s="6"/>
      <c r="AJ38" s="6" t="s">
        <v>101</v>
      </c>
      <c r="AK38" s="6"/>
      <c r="AL38" s="6"/>
      <c r="AM38" s="6"/>
      <c r="AN38" s="6">
        <v>32.0</v>
      </c>
      <c r="AO38" s="6"/>
      <c r="AP38" s="6"/>
      <c r="AQ38" s="6"/>
      <c r="AR38" s="6"/>
      <c r="AS38" s="6"/>
      <c r="AT38" s="6"/>
      <c r="AU38" s="6"/>
      <c r="AV38" s="6"/>
      <c r="AW38" s="6"/>
      <c r="AX38" s="6"/>
      <c r="AY38" s="6"/>
      <c r="AZ38" s="6"/>
      <c r="BA38" s="6"/>
      <c r="BB38" s="6"/>
    </row>
    <row r="39">
      <c r="A39" s="6">
        <v>32.0</v>
      </c>
      <c r="B39" s="6" t="s">
        <v>17</v>
      </c>
      <c r="C39" s="6"/>
      <c r="D39" s="6" t="s">
        <v>71</v>
      </c>
      <c r="E39" s="6"/>
      <c r="F39" s="7">
        <v>46063.0</v>
      </c>
      <c r="G39" s="6">
        <v>20.69</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row>
    <row r="40">
      <c r="A40" s="1">
        <v>33.0</v>
      </c>
      <c r="B40" s="1" t="s">
        <v>13</v>
      </c>
      <c r="C40" s="1" t="s">
        <v>102</v>
      </c>
      <c r="D40" s="1" t="s">
        <v>103</v>
      </c>
      <c r="E40" s="1" t="s">
        <v>38</v>
      </c>
      <c r="F40" s="3">
        <v>43125.0</v>
      </c>
      <c r="G40" s="1">
        <v>11.1</v>
      </c>
      <c r="P40" s="1"/>
      <c r="AT40" s="11"/>
      <c r="AU40" s="11"/>
      <c r="AV40" s="11"/>
      <c r="AW40" s="11"/>
      <c r="AX40" s="11"/>
      <c r="AY40" s="11"/>
      <c r="AZ40" s="11"/>
      <c r="BA40" s="11"/>
      <c r="BB40" s="11"/>
    </row>
    <row r="41">
      <c r="A41" s="4">
        <v>33.0</v>
      </c>
      <c r="B41" s="1" t="s">
        <v>55</v>
      </c>
      <c r="C41" s="1" t="s">
        <v>102</v>
      </c>
      <c r="D41" s="1" t="s">
        <v>103</v>
      </c>
      <c r="E41" s="1" t="s">
        <v>56</v>
      </c>
      <c r="F41" s="3">
        <v>45699.0</v>
      </c>
      <c r="G41" s="1">
        <v>13.3</v>
      </c>
      <c r="M41" s="1" t="s">
        <v>104</v>
      </c>
      <c r="N41" s="1" t="s">
        <v>105</v>
      </c>
      <c r="P41" s="9" t="s">
        <v>106</v>
      </c>
      <c r="Q41" s="1" t="s">
        <v>25</v>
      </c>
      <c r="R41" s="1" t="s">
        <v>107</v>
      </c>
      <c r="U41" s="1" t="s">
        <v>55</v>
      </c>
      <c r="V41" s="1" t="s">
        <v>59</v>
      </c>
      <c r="W41" s="1">
        <v>16.76860255</v>
      </c>
      <c r="X41" s="1">
        <v>-62.20650176</v>
      </c>
      <c r="Z41" s="1" t="s">
        <v>26</v>
      </c>
      <c r="AA41" s="1" t="s">
        <v>27</v>
      </c>
      <c r="AB41" s="1" t="s">
        <v>59</v>
      </c>
      <c r="AE41" s="1" t="s">
        <v>29</v>
      </c>
      <c r="AG41" s="1" t="s">
        <v>59</v>
      </c>
      <c r="AJ41" s="1" t="s">
        <v>108</v>
      </c>
      <c r="AN41" s="1">
        <v>33.0</v>
      </c>
      <c r="AT41" s="11"/>
      <c r="AU41" s="11"/>
      <c r="AV41" s="11"/>
      <c r="AW41" s="11"/>
      <c r="AX41" s="11"/>
      <c r="AY41" s="11"/>
      <c r="AZ41" s="11"/>
      <c r="BA41" s="11"/>
      <c r="BB41" s="11"/>
    </row>
    <row r="42">
      <c r="A42" s="1">
        <v>33.0</v>
      </c>
      <c r="B42" s="1" t="s">
        <v>17</v>
      </c>
      <c r="D42" s="1" t="s">
        <v>103</v>
      </c>
      <c r="F42" s="3">
        <v>46063.0</v>
      </c>
      <c r="G42" s="4">
        <v>12.73</v>
      </c>
    </row>
    <row r="43">
      <c r="A43" s="1">
        <v>34.0</v>
      </c>
      <c r="B43" s="1" t="s">
        <v>13</v>
      </c>
      <c r="C43" s="1" t="s">
        <v>45</v>
      </c>
      <c r="D43" s="1" t="s">
        <v>46</v>
      </c>
      <c r="F43" s="3">
        <v>43125.0</v>
      </c>
      <c r="G43" s="1">
        <v>11.5</v>
      </c>
      <c r="J43" s="1" t="s">
        <v>72</v>
      </c>
      <c r="P43" s="1"/>
    </row>
    <row r="44">
      <c r="A44" s="4">
        <v>34.0</v>
      </c>
      <c r="B44" s="1" t="s">
        <v>32</v>
      </c>
      <c r="C44" s="1" t="s">
        <v>48</v>
      </c>
      <c r="D44" s="1" t="s">
        <v>46</v>
      </c>
      <c r="E44" s="1" t="s">
        <v>49</v>
      </c>
      <c r="F44" s="3">
        <v>45699.0</v>
      </c>
      <c r="J44" s="1" t="s">
        <v>50</v>
      </c>
      <c r="K44" s="1" t="s">
        <v>50</v>
      </c>
      <c r="P44" s="9" t="s">
        <v>109</v>
      </c>
      <c r="Q44" s="1" t="s">
        <v>52</v>
      </c>
      <c r="R44" s="1" t="s">
        <v>110</v>
      </c>
      <c r="U44" s="1" t="s">
        <v>32</v>
      </c>
      <c r="W44" s="1">
        <v>16.7682167</v>
      </c>
      <c r="X44" s="1">
        <v>-62.2065668</v>
      </c>
      <c r="Z44" s="1" t="s">
        <v>26</v>
      </c>
      <c r="AA44" s="1" t="s">
        <v>27</v>
      </c>
      <c r="AB44" s="1" t="s">
        <v>43</v>
      </c>
      <c r="AC44" s="1">
        <v>15.0</v>
      </c>
      <c r="AE44" s="1" t="s">
        <v>29</v>
      </c>
      <c r="AG44" s="1" t="s">
        <v>30</v>
      </c>
      <c r="AJ44" s="1" t="s">
        <v>111</v>
      </c>
      <c r="AN44" s="1">
        <v>34.0</v>
      </c>
    </row>
    <row r="45">
      <c r="A45" s="1">
        <v>34.0</v>
      </c>
      <c r="B45" s="1" t="s">
        <v>17</v>
      </c>
      <c r="D45" s="1" t="s">
        <v>46</v>
      </c>
      <c r="F45" s="3">
        <v>46063.0</v>
      </c>
      <c r="J45" s="1" t="s">
        <v>50</v>
      </c>
      <c r="K45" s="1" t="s">
        <v>50</v>
      </c>
      <c r="AT45" s="12"/>
      <c r="AU45" s="12"/>
      <c r="AV45" s="12"/>
      <c r="AW45" s="12"/>
      <c r="AX45" s="12"/>
      <c r="AY45" s="12"/>
      <c r="AZ45" s="12"/>
      <c r="BA45" s="12"/>
      <c r="BB45" s="12"/>
    </row>
    <row r="46">
      <c r="A46" s="1">
        <v>35.0</v>
      </c>
      <c r="B46" s="1" t="s">
        <v>13</v>
      </c>
      <c r="C46" s="1" t="s">
        <v>78</v>
      </c>
      <c r="D46" s="1" t="s">
        <v>79</v>
      </c>
      <c r="F46" s="3">
        <v>43125.0</v>
      </c>
      <c r="G46" s="1">
        <v>91.4</v>
      </c>
      <c r="P46" s="1"/>
      <c r="AT46" s="12"/>
      <c r="AU46" s="12"/>
      <c r="AV46" s="12"/>
      <c r="AW46" s="12"/>
      <c r="AX46" s="12"/>
      <c r="AY46" s="12"/>
      <c r="AZ46" s="12"/>
      <c r="BA46" s="12"/>
      <c r="BB46" s="12"/>
    </row>
    <row r="47">
      <c r="A47" s="4">
        <v>35.0</v>
      </c>
      <c r="B47" s="1" t="s">
        <v>32</v>
      </c>
      <c r="C47" s="1" t="s">
        <v>78</v>
      </c>
      <c r="D47" s="1" t="s">
        <v>79</v>
      </c>
      <c r="E47" s="1" t="s">
        <v>98</v>
      </c>
      <c r="F47" s="3">
        <v>45699.0</v>
      </c>
      <c r="G47" s="1">
        <v>91.0</v>
      </c>
      <c r="M47" s="1" t="s">
        <v>81</v>
      </c>
      <c r="N47" s="1" t="s">
        <v>82</v>
      </c>
      <c r="P47" s="9" t="s">
        <v>112</v>
      </c>
      <c r="Q47" s="1" t="s">
        <v>25</v>
      </c>
      <c r="R47" s="1" t="s">
        <v>113</v>
      </c>
      <c r="U47" s="1" t="s">
        <v>32</v>
      </c>
      <c r="W47" s="1">
        <v>16.768702</v>
      </c>
      <c r="X47" s="1">
        <v>-62.2067065</v>
      </c>
      <c r="Z47" s="1" t="s">
        <v>26</v>
      </c>
      <c r="AA47" s="1" t="s">
        <v>27</v>
      </c>
      <c r="AB47" s="1" t="s">
        <v>43</v>
      </c>
      <c r="AC47" s="1">
        <v>9.0</v>
      </c>
      <c r="AE47" s="1" t="s">
        <v>29</v>
      </c>
      <c r="AG47" s="1" t="s">
        <v>30</v>
      </c>
      <c r="AJ47" s="1" t="s">
        <v>114</v>
      </c>
      <c r="AN47" s="1">
        <v>35.0</v>
      </c>
      <c r="AT47" s="12"/>
      <c r="AU47" s="12"/>
      <c r="AV47" s="12"/>
      <c r="AW47" s="12"/>
      <c r="AX47" s="12"/>
      <c r="AY47" s="12"/>
      <c r="AZ47" s="12"/>
      <c r="BA47" s="12"/>
      <c r="BB47" s="12"/>
    </row>
    <row r="48">
      <c r="A48" s="1">
        <v>35.0</v>
      </c>
      <c r="B48" s="1" t="s">
        <v>17</v>
      </c>
      <c r="D48" s="1" t="s">
        <v>79</v>
      </c>
      <c r="F48" s="3">
        <v>46063.0</v>
      </c>
      <c r="G48" s="4">
        <v>92.31</v>
      </c>
      <c r="AT48" s="13"/>
      <c r="AU48" s="13"/>
      <c r="AV48" s="13"/>
      <c r="AW48" s="13"/>
      <c r="AX48" s="13"/>
      <c r="AY48" s="13"/>
      <c r="AZ48" s="13"/>
      <c r="BA48" s="13"/>
      <c r="BB48" s="13"/>
    </row>
    <row r="49">
      <c r="A49" s="1">
        <v>36.0</v>
      </c>
      <c r="B49" s="1" t="s">
        <v>13</v>
      </c>
      <c r="C49" s="1" t="s">
        <v>115</v>
      </c>
      <c r="D49" s="1" t="s">
        <v>116</v>
      </c>
      <c r="E49" s="1" t="s">
        <v>38</v>
      </c>
      <c r="F49" s="3">
        <v>43125.0</v>
      </c>
      <c r="G49" s="1">
        <v>14.6</v>
      </c>
      <c r="J49" s="1" t="s">
        <v>72</v>
      </c>
      <c r="P49" s="1"/>
      <c r="AT49" s="13"/>
      <c r="AU49" s="13"/>
      <c r="AV49" s="13"/>
      <c r="AW49" s="13"/>
      <c r="AX49" s="13"/>
      <c r="AY49" s="13"/>
      <c r="AZ49" s="13"/>
      <c r="BA49" s="13"/>
      <c r="BB49" s="13"/>
    </row>
    <row r="50">
      <c r="A50" s="4">
        <v>36.0</v>
      </c>
      <c r="B50" s="1" t="s">
        <v>32</v>
      </c>
      <c r="C50" s="1" t="s">
        <v>48</v>
      </c>
      <c r="D50" s="1" t="s">
        <v>116</v>
      </c>
      <c r="E50" s="1" t="s">
        <v>49</v>
      </c>
      <c r="F50" s="3">
        <v>45699.0</v>
      </c>
      <c r="G50" s="1">
        <v>20.6</v>
      </c>
      <c r="P50" s="9" t="s">
        <v>117</v>
      </c>
      <c r="Q50" s="1" t="s">
        <v>52</v>
      </c>
      <c r="R50" s="1" t="s">
        <v>58</v>
      </c>
      <c r="U50" s="1" t="s">
        <v>32</v>
      </c>
      <c r="W50" s="1">
        <v>16.7684086</v>
      </c>
      <c r="X50" s="1">
        <v>-62.2065374</v>
      </c>
      <c r="Z50" s="1" t="s">
        <v>26</v>
      </c>
      <c r="AA50" s="1" t="s">
        <v>27</v>
      </c>
      <c r="AB50" s="1" t="s">
        <v>43</v>
      </c>
      <c r="AC50" s="1">
        <v>7.0</v>
      </c>
      <c r="AE50" s="1" t="s">
        <v>29</v>
      </c>
      <c r="AG50" s="1" t="s">
        <v>30</v>
      </c>
      <c r="AJ50" s="1" t="s">
        <v>118</v>
      </c>
      <c r="AN50" s="1">
        <v>36.0</v>
      </c>
      <c r="AT50" s="13"/>
      <c r="AU50" s="13"/>
      <c r="AV50" s="13"/>
      <c r="AW50" s="13"/>
      <c r="AX50" s="13"/>
      <c r="AY50" s="13"/>
      <c r="AZ50" s="13"/>
      <c r="BA50" s="13"/>
      <c r="BB50" s="13"/>
    </row>
    <row r="51">
      <c r="A51" s="1">
        <v>36.0</v>
      </c>
      <c r="B51" s="1" t="s">
        <v>17</v>
      </c>
      <c r="D51" s="1" t="s">
        <v>116</v>
      </c>
      <c r="F51" s="3">
        <v>46063.0</v>
      </c>
      <c r="G51" s="4">
        <v>22.44</v>
      </c>
      <c r="AT51" s="14"/>
      <c r="AU51" s="14"/>
      <c r="AV51" s="14"/>
      <c r="AW51" s="14"/>
      <c r="AX51" s="14"/>
      <c r="AY51" s="14"/>
      <c r="AZ51" s="14"/>
      <c r="BA51" s="14"/>
      <c r="BB51" s="14"/>
    </row>
    <row r="52">
      <c r="A52" s="1">
        <v>37.0</v>
      </c>
      <c r="B52" s="1" t="s">
        <v>13</v>
      </c>
      <c r="C52" s="1" t="s">
        <v>119</v>
      </c>
      <c r="D52" s="1" t="s">
        <v>119</v>
      </c>
      <c r="F52" s="3">
        <v>43125.0</v>
      </c>
      <c r="G52" s="1">
        <v>57.0</v>
      </c>
      <c r="J52" s="1" t="s">
        <v>120</v>
      </c>
      <c r="P52" s="1"/>
      <c r="AT52" s="14"/>
      <c r="AU52" s="14"/>
      <c r="AV52" s="14"/>
      <c r="AW52" s="14"/>
      <c r="AX52" s="14"/>
      <c r="AY52" s="14"/>
      <c r="AZ52" s="14"/>
      <c r="BA52" s="14"/>
      <c r="BB52" s="14"/>
    </row>
    <row r="53">
      <c r="A53" s="4">
        <v>37.0</v>
      </c>
      <c r="B53" s="1" t="s">
        <v>32</v>
      </c>
      <c r="C53" s="1" t="s">
        <v>119</v>
      </c>
      <c r="D53" s="1" t="s">
        <v>119</v>
      </c>
      <c r="E53" s="1" t="s">
        <v>98</v>
      </c>
      <c r="F53" s="3">
        <v>45699.0</v>
      </c>
      <c r="G53" s="1">
        <v>63.4</v>
      </c>
      <c r="J53" s="1" t="s">
        <v>121</v>
      </c>
      <c r="M53" s="1" t="s">
        <v>122</v>
      </c>
      <c r="N53" s="1" t="s">
        <v>123</v>
      </c>
      <c r="P53" s="9" t="s">
        <v>124</v>
      </c>
      <c r="Q53" s="1" t="s">
        <v>25</v>
      </c>
      <c r="R53" s="1" t="s">
        <v>125</v>
      </c>
      <c r="U53" s="1" t="s">
        <v>32</v>
      </c>
      <c r="W53" s="1">
        <v>16.7686328</v>
      </c>
      <c r="X53" s="1">
        <v>-62.2064452</v>
      </c>
      <c r="Z53" s="1" t="s">
        <v>26</v>
      </c>
      <c r="AA53" s="1" t="s">
        <v>27</v>
      </c>
      <c r="AB53" s="1" t="s">
        <v>43</v>
      </c>
      <c r="AC53" s="1">
        <v>13.0</v>
      </c>
      <c r="AE53" s="1" t="s">
        <v>29</v>
      </c>
      <c r="AG53" s="1" t="s">
        <v>30</v>
      </c>
      <c r="AJ53" s="1" t="s">
        <v>126</v>
      </c>
      <c r="AN53" s="1">
        <v>37.0</v>
      </c>
      <c r="AT53" s="14"/>
      <c r="AU53" s="14"/>
      <c r="AV53" s="14"/>
      <c r="AW53" s="14"/>
      <c r="AX53" s="14"/>
      <c r="AY53" s="14"/>
      <c r="AZ53" s="14"/>
      <c r="BA53" s="14"/>
      <c r="BB53" s="14"/>
    </row>
    <row r="54">
      <c r="A54" s="1">
        <v>37.0</v>
      </c>
      <c r="B54" s="1" t="s">
        <v>17</v>
      </c>
      <c r="D54" s="1" t="s">
        <v>119</v>
      </c>
      <c r="F54" s="3">
        <v>46063.0</v>
      </c>
      <c r="G54" s="4">
        <v>64.94</v>
      </c>
    </row>
    <row r="55">
      <c r="A55" s="1">
        <v>38.0</v>
      </c>
      <c r="B55" s="1" t="s">
        <v>13</v>
      </c>
      <c r="C55" s="1" t="s">
        <v>127</v>
      </c>
      <c r="D55" s="15" t="s">
        <v>128</v>
      </c>
      <c r="E55" s="1" t="s">
        <v>38</v>
      </c>
      <c r="F55" s="3">
        <v>43125.0</v>
      </c>
      <c r="G55" s="1">
        <v>12.7</v>
      </c>
      <c r="P55" s="1"/>
    </row>
    <row r="56">
      <c r="A56" s="4">
        <v>38.0</v>
      </c>
      <c r="B56" s="1" t="s">
        <v>32</v>
      </c>
      <c r="C56" s="1" t="s">
        <v>48</v>
      </c>
      <c r="D56" s="15" t="s">
        <v>128</v>
      </c>
      <c r="E56" s="1" t="s">
        <v>49</v>
      </c>
      <c r="F56" s="3">
        <v>45699.0</v>
      </c>
      <c r="J56" s="1" t="s">
        <v>50</v>
      </c>
      <c r="K56" s="1" t="s">
        <v>50</v>
      </c>
      <c r="P56" s="9" t="s">
        <v>129</v>
      </c>
      <c r="Q56" s="1" t="s">
        <v>52</v>
      </c>
      <c r="R56" s="1" t="s">
        <v>130</v>
      </c>
      <c r="U56" s="1" t="s">
        <v>32</v>
      </c>
      <c r="W56" s="1">
        <v>16.768448</v>
      </c>
      <c r="X56" s="1">
        <v>-62.2065512</v>
      </c>
      <c r="Z56" s="1" t="s">
        <v>26</v>
      </c>
      <c r="AA56" s="1" t="s">
        <v>27</v>
      </c>
      <c r="AB56" s="1" t="s">
        <v>43</v>
      </c>
      <c r="AC56" s="1">
        <v>16.0</v>
      </c>
      <c r="AE56" s="1" t="s">
        <v>29</v>
      </c>
      <c r="AG56" s="1" t="s">
        <v>30</v>
      </c>
      <c r="AJ56" s="1" t="s">
        <v>131</v>
      </c>
      <c r="AN56" s="1">
        <v>38.0</v>
      </c>
    </row>
    <row r="57">
      <c r="A57" s="1">
        <v>38.0</v>
      </c>
      <c r="B57" s="1" t="s">
        <v>17</v>
      </c>
      <c r="D57" s="15" t="s">
        <v>128</v>
      </c>
      <c r="F57" s="3">
        <v>46063.0</v>
      </c>
      <c r="J57" s="1" t="s">
        <v>132</v>
      </c>
    </row>
    <row r="58">
      <c r="A58" s="16">
        <v>39.0</v>
      </c>
      <c r="B58" s="16" t="s">
        <v>13</v>
      </c>
      <c r="C58" s="16" t="s">
        <v>18</v>
      </c>
      <c r="D58" s="6" t="s">
        <v>19</v>
      </c>
      <c r="E58" s="11"/>
      <c r="F58" s="17">
        <v>43125.0</v>
      </c>
      <c r="G58" s="16">
        <v>10.8</v>
      </c>
      <c r="H58" s="11"/>
      <c r="I58" s="11"/>
      <c r="J58" s="11"/>
      <c r="K58" s="11"/>
      <c r="L58" s="11"/>
      <c r="M58" s="11"/>
      <c r="N58" s="11"/>
      <c r="O58" s="11"/>
      <c r="P58" s="16"/>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row>
    <row r="59">
      <c r="A59" s="16">
        <v>39.0</v>
      </c>
      <c r="B59" s="16" t="s">
        <v>20</v>
      </c>
      <c r="C59" s="16" t="s">
        <v>18</v>
      </c>
      <c r="D59" s="6" t="s">
        <v>19</v>
      </c>
      <c r="E59" s="11"/>
      <c r="F59" s="17">
        <v>45478.0</v>
      </c>
      <c r="G59" s="16">
        <v>8.8</v>
      </c>
      <c r="H59" s="11"/>
      <c r="I59" s="16">
        <v>1.0</v>
      </c>
      <c r="J59" s="11"/>
      <c r="K59" s="11"/>
      <c r="L59" s="18" t="s">
        <v>133</v>
      </c>
      <c r="M59" s="16" t="s">
        <v>22</v>
      </c>
      <c r="N59" s="16" t="s">
        <v>23</v>
      </c>
      <c r="O59" s="11"/>
      <c r="P59" s="18" t="s">
        <v>134</v>
      </c>
      <c r="Q59" s="16" t="s">
        <v>25</v>
      </c>
      <c r="R59" s="11"/>
      <c r="S59" s="11"/>
      <c r="T59" s="11"/>
      <c r="U59" s="16" t="s">
        <v>20</v>
      </c>
      <c r="V59" s="11"/>
      <c r="W59" s="16">
        <v>16.7685446</v>
      </c>
      <c r="X59" s="16">
        <v>-62.2064794</v>
      </c>
      <c r="Y59" s="11"/>
      <c r="Z59" s="16" t="s">
        <v>26</v>
      </c>
      <c r="AA59" s="16" t="s">
        <v>27</v>
      </c>
      <c r="AB59" s="16" t="s">
        <v>43</v>
      </c>
      <c r="AC59" s="16">
        <v>8.0</v>
      </c>
      <c r="AD59" s="11"/>
      <c r="AE59" s="16" t="s">
        <v>29</v>
      </c>
      <c r="AF59" s="11"/>
      <c r="AG59" s="16" t="s">
        <v>30</v>
      </c>
      <c r="AH59" s="11"/>
      <c r="AI59" s="11"/>
      <c r="AJ59" s="16" t="s">
        <v>135</v>
      </c>
      <c r="AK59" s="11"/>
      <c r="AL59" s="11"/>
      <c r="AM59" s="11"/>
      <c r="AN59" s="11"/>
      <c r="AO59" s="11"/>
      <c r="AP59" s="11"/>
      <c r="AQ59" s="11"/>
      <c r="AR59" s="11"/>
      <c r="AS59" s="11"/>
    </row>
    <row r="60">
      <c r="A60" s="11">
        <v>39.0</v>
      </c>
      <c r="B60" s="16" t="s">
        <v>32</v>
      </c>
      <c r="C60" s="16" t="s">
        <v>48</v>
      </c>
      <c r="D60" s="6" t="s">
        <v>19</v>
      </c>
      <c r="E60" s="16" t="s">
        <v>49</v>
      </c>
      <c r="F60" s="17">
        <v>45699.0</v>
      </c>
      <c r="G60" s="16">
        <v>12.0</v>
      </c>
      <c r="H60" s="11"/>
      <c r="I60" s="11"/>
      <c r="J60" s="11"/>
      <c r="K60" s="11"/>
      <c r="L60" s="11"/>
      <c r="M60" s="11"/>
      <c r="N60" s="11"/>
      <c r="O60" s="11"/>
      <c r="P60" s="18" t="s">
        <v>136</v>
      </c>
      <c r="Q60" s="16" t="s">
        <v>52</v>
      </c>
      <c r="R60" s="16" t="s">
        <v>130</v>
      </c>
      <c r="S60" s="11"/>
      <c r="T60" s="11"/>
      <c r="U60" s="16" t="s">
        <v>32</v>
      </c>
      <c r="V60" s="11"/>
      <c r="W60" s="16">
        <v>16.7684457</v>
      </c>
      <c r="X60" s="16">
        <v>-62.2065539</v>
      </c>
      <c r="Y60" s="11"/>
      <c r="Z60" s="16" t="s">
        <v>26</v>
      </c>
      <c r="AA60" s="16" t="s">
        <v>27</v>
      </c>
      <c r="AB60" s="16" t="s">
        <v>43</v>
      </c>
      <c r="AC60" s="16">
        <v>9.0</v>
      </c>
      <c r="AD60" s="11"/>
      <c r="AE60" s="16" t="s">
        <v>29</v>
      </c>
      <c r="AF60" s="11"/>
      <c r="AG60" s="16" t="s">
        <v>30</v>
      </c>
      <c r="AH60" s="11"/>
      <c r="AI60" s="11"/>
      <c r="AJ60" s="16" t="s">
        <v>137</v>
      </c>
      <c r="AK60" s="11"/>
      <c r="AL60" s="11"/>
      <c r="AM60" s="11"/>
      <c r="AN60" s="16">
        <v>39.0</v>
      </c>
      <c r="AO60" s="11"/>
      <c r="AP60" s="11"/>
      <c r="AQ60" s="11"/>
      <c r="AR60" s="11"/>
      <c r="AS60" s="11"/>
    </row>
    <row r="61">
      <c r="A61" s="1">
        <v>39.0</v>
      </c>
      <c r="B61" s="1" t="s">
        <v>17</v>
      </c>
      <c r="D61" s="6" t="s">
        <v>19</v>
      </c>
      <c r="F61" s="3">
        <v>46063.0</v>
      </c>
      <c r="G61" s="4">
        <v>10.82</v>
      </c>
    </row>
    <row r="62">
      <c r="A62" s="1">
        <v>40.0</v>
      </c>
      <c r="B62" s="1" t="s">
        <v>13</v>
      </c>
      <c r="C62" s="1" t="s">
        <v>102</v>
      </c>
      <c r="D62" s="1" t="s">
        <v>103</v>
      </c>
      <c r="F62" s="3">
        <v>43125.0</v>
      </c>
      <c r="G62" s="1">
        <v>11.8</v>
      </c>
      <c r="P62" s="1"/>
    </row>
    <row r="63">
      <c r="A63" s="1">
        <v>40.0</v>
      </c>
      <c r="B63" s="1" t="s">
        <v>20</v>
      </c>
      <c r="C63" s="1" t="s">
        <v>102</v>
      </c>
      <c r="D63" s="1" t="s">
        <v>103</v>
      </c>
      <c r="F63" s="3">
        <v>45478.0</v>
      </c>
      <c r="G63" s="1">
        <v>17.6</v>
      </c>
      <c r="I63" s="1">
        <v>1.0</v>
      </c>
      <c r="L63" s="9" t="s">
        <v>138</v>
      </c>
      <c r="M63" s="1" t="s">
        <v>104</v>
      </c>
      <c r="N63" s="1" t="s">
        <v>105</v>
      </c>
      <c r="P63" s="9" t="s">
        <v>139</v>
      </c>
      <c r="Q63" s="1" t="s">
        <v>25</v>
      </c>
      <c r="U63" s="1" t="s">
        <v>20</v>
      </c>
      <c r="W63" s="1">
        <v>16.768553</v>
      </c>
      <c r="X63" s="1">
        <v>-62.2064783</v>
      </c>
      <c r="Z63" s="1" t="s">
        <v>26</v>
      </c>
      <c r="AA63" s="1" t="s">
        <v>27</v>
      </c>
      <c r="AB63" s="1" t="s">
        <v>43</v>
      </c>
      <c r="AC63" s="1">
        <v>5.0</v>
      </c>
      <c r="AE63" s="1" t="s">
        <v>29</v>
      </c>
      <c r="AG63" s="1" t="s">
        <v>30</v>
      </c>
      <c r="AJ63" s="1" t="s">
        <v>140</v>
      </c>
      <c r="AT63" s="19"/>
      <c r="AU63" s="19"/>
      <c r="AV63" s="19"/>
      <c r="AW63" s="19"/>
      <c r="AX63" s="19"/>
      <c r="AY63" s="19"/>
      <c r="AZ63" s="19"/>
      <c r="BA63" s="19"/>
      <c r="BB63" s="19"/>
    </row>
    <row r="64">
      <c r="A64" s="4">
        <v>40.0</v>
      </c>
      <c r="B64" s="1" t="s">
        <v>32</v>
      </c>
      <c r="C64" s="1" t="s">
        <v>48</v>
      </c>
      <c r="D64" s="1" t="s">
        <v>103</v>
      </c>
      <c r="E64" s="1" t="s">
        <v>49</v>
      </c>
      <c r="F64" s="3">
        <v>45699.0</v>
      </c>
      <c r="G64" s="1">
        <v>19.4</v>
      </c>
      <c r="P64" s="9" t="s">
        <v>141</v>
      </c>
      <c r="Q64" s="1" t="s">
        <v>52</v>
      </c>
      <c r="R64" s="1" t="s">
        <v>142</v>
      </c>
      <c r="U64" s="1" t="s">
        <v>32</v>
      </c>
      <c r="W64" s="1">
        <v>16.7684413</v>
      </c>
      <c r="X64" s="1">
        <v>-62.2065601</v>
      </c>
      <c r="Z64" s="1" t="s">
        <v>26</v>
      </c>
      <c r="AA64" s="1" t="s">
        <v>27</v>
      </c>
      <c r="AB64" s="1" t="s">
        <v>43</v>
      </c>
      <c r="AC64" s="1">
        <v>13.0</v>
      </c>
      <c r="AE64" s="1" t="s">
        <v>29</v>
      </c>
      <c r="AG64" s="1" t="s">
        <v>30</v>
      </c>
      <c r="AJ64" s="1" t="s">
        <v>143</v>
      </c>
      <c r="AN64" s="1">
        <v>40.0</v>
      </c>
      <c r="AT64" s="19"/>
      <c r="AU64" s="19"/>
      <c r="AV64" s="19"/>
      <c r="AW64" s="19"/>
      <c r="AX64" s="19"/>
      <c r="AY64" s="19"/>
      <c r="AZ64" s="19"/>
      <c r="BA64" s="19"/>
      <c r="BB64" s="19"/>
    </row>
    <row r="65">
      <c r="A65" s="1">
        <v>40.0</v>
      </c>
      <c r="B65" s="1" t="s">
        <v>17</v>
      </c>
      <c r="D65" s="1" t="s">
        <v>103</v>
      </c>
      <c r="F65" s="3">
        <v>46063.0</v>
      </c>
      <c r="G65" s="4">
        <v>19.26</v>
      </c>
      <c r="AT65" s="19"/>
      <c r="AU65" s="19"/>
      <c r="AV65" s="19"/>
      <c r="AW65" s="19"/>
      <c r="AX65" s="19"/>
      <c r="AY65" s="19"/>
      <c r="AZ65" s="19"/>
      <c r="BA65" s="19"/>
      <c r="BB65" s="19"/>
    </row>
    <row r="66">
      <c r="A66" s="2">
        <v>41.0</v>
      </c>
      <c r="B66" s="2" t="s">
        <v>13</v>
      </c>
      <c r="C66" s="2" t="s">
        <v>14</v>
      </c>
      <c r="D66" s="2" t="s">
        <v>15</v>
      </c>
      <c r="E66" s="12"/>
      <c r="F66" s="20">
        <v>43125.0</v>
      </c>
      <c r="G66" s="2">
        <v>25.8</v>
      </c>
      <c r="H66" s="12"/>
      <c r="I66" s="12"/>
      <c r="J66" s="12"/>
      <c r="K66" s="12"/>
      <c r="L66" s="12"/>
      <c r="M66" s="12"/>
      <c r="N66" s="12"/>
      <c r="O66" s="12"/>
      <c r="P66" s="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row>
    <row r="67">
      <c r="A67" s="2">
        <v>41.0</v>
      </c>
      <c r="B67" s="2" t="s">
        <v>20</v>
      </c>
      <c r="C67" s="2" t="s">
        <v>14</v>
      </c>
      <c r="D67" s="2" t="s">
        <v>15</v>
      </c>
      <c r="E67" s="12"/>
      <c r="F67" s="20">
        <v>45478.0</v>
      </c>
      <c r="G67" s="2">
        <v>35.7</v>
      </c>
      <c r="H67" s="12"/>
      <c r="I67" s="2">
        <v>1.0</v>
      </c>
      <c r="J67" s="12"/>
      <c r="K67" s="12"/>
      <c r="L67" s="21" t="s">
        <v>144</v>
      </c>
      <c r="M67" s="2" t="s">
        <v>145</v>
      </c>
      <c r="N67" s="2" t="s">
        <v>146</v>
      </c>
      <c r="O67" s="12"/>
      <c r="P67" s="21" t="s">
        <v>147</v>
      </c>
      <c r="Q67" s="2" t="s">
        <v>25</v>
      </c>
      <c r="R67" s="12"/>
      <c r="S67" s="12"/>
      <c r="T67" s="12"/>
      <c r="U67" s="2" t="s">
        <v>20</v>
      </c>
      <c r="V67" s="12"/>
      <c r="W67" s="2">
        <v>16.768542</v>
      </c>
      <c r="X67" s="2">
        <v>-62.2064366</v>
      </c>
      <c r="Y67" s="12"/>
      <c r="Z67" s="2" t="s">
        <v>26</v>
      </c>
      <c r="AA67" s="2" t="s">
        <v>27</v>
      </c>
      <c r="AB67" s="2" t="s">
        <v>43</v>
      </c>
      <c r="AC67" s="2">
        <v>6.0</v>
      </c>
      <c r="AD67" s="12"/>
      <c r="AE67" s="2" t="s">
        <v>29</v>
      </c>
      <c r="AF67" s="12"/>
      <c r="AG67" s="2" t="s">
        <v>30</v>
      </c>
      <c r="AH67" s="12"/>
      <c r="AI67" s="12"/>
      <c r="AJ67" s="2" t="s">
        <v>148</v>
      </c>
      <c r="AK67" s="12"/>
      <c r="AL67" s="12"/>
      <c r="AM67" s="12"/>
      <c r="AN67" s="12"/>
      <c r="AO67" s="12"/>
      <c r="AP67" s="12"/>
      <c r="AQ67" s="12"/>
      <c r="AR67" s="12"/>
      <c r="AS67" s="12"/>
    </row>
    <row r="68">
      <c r="A68" s="12">
        <v>41.0</v>
      </c>
      <c r="B68" s="2" t="s">
        <v>32</v>
      </c>
      <c r="C68" s="2" t="s">
        <v>48</v>
      </c>
      <c r="D68" s="2" t="s">
        <v>15</v>
      </c>
      <c r="E68" s="2" t="s">
        <v>149</v>
      </c>
      <c r="F68" s="20">
        <v>45699.0</v>
      </c>
      <c r="G68" s="2">
        <v>38.2</v>
      </c>
      <c r="H68" s="12"/>
      <c r="I68" s="12"/>
      <c r="J68" s="12"/>
      <c r="K68" s="12"/>
      <c r="L68" s="12"/>
      <c r="M68" s="12"/>
      <c r="N68" s="12"/>
      <c r="O68" s="12"/>
      <c r="P68" s="21" t="s">
        <v>150</v>
      </c>
      <c r="Q68" s="2" t="s">
        <v>52</v>
      </c>
      <c r="R68" s="2" t="s">
        <v>142</v>
      </c>
      <c r="S68" s="12"/>
      <c r="T68" s="12"/>
      <c r="U68" s="2" t="s">
        <v>32</v>
      </c>
      <c r="V68" s="12"/>
      <c r="W68" s="2">
        <v>16.7684402</v>
      </c>
      <c r="X68" s="2">
        <v>-62.2065595</v>
      </c>
      <c r="Y68" s="12"/>
      <c r="Z68" s="2" t="s">
        <v>26</v>
      </c>
      <c r="AA68" s="2" t="s">
        <v>27</v>
      </c>
      <c r="AB68" s="2" t="s">
        <v>43</v>
      </c>
      <c r="AC68" s="2">
        <v>11.0</v>
      </c>
      <c r="AD68" s="12"/>
      <c r="AE68" s="2" t="s">
        <v>29</v>
      </c>
      <c r="AF68" s="12"/>
      <c r="AG68" s="2" t="s">
        <v>30</v>
      </c>
      <c r="AH68" s="12"/>
      <c r="AI68" s="12"/>
      <c r="AJ68" s="2" t="s">
        <v>151</v>
      </c>
      <c r="AK68" s="12"/>
      <c r="AL68" s="12"/>
      <c r="AM68" s="12"/>
      <c r="AN68" s="2">
        <v>41.0</v>
      </c>
      <c r="AO68" s="12"/>
      <c r="AP68" s="12"/>
      <c r="AQ68" s="12"/>
      <c r="AR68" s="12"/>
      <c r="AS68" s="12"/>
    </row>
    <row r="69">
      <c r="A69" s="1">
        <v>41.0</v>
      </c>
      <c r="B69" s="1" t="s">
        <v>17</v>
      </c>
      <c r="D69" s="2" t="s">
        <v>15</v>
      </c>
      <c r="F69" s="3">
        <v>46063.0</v>
      </c>
      <c r="G69" s="4">
        <v>39.47</v>
      </c>
    </row>
    <row r="70">
      <c r="A70" s="22">
        <v>42.0</v>
      </c>
      <c r="B70" s="22" t="s">
        <v>13</v>
      </c>
      <c r="C70" s="22" t="s">
        <v>152</v>
      </c>
      <c r="D70" s="22" t="s">
        <v>153</v>
      </c>
      <c r="E70" s="22" t="s">
        <v>38</v>
      </c>
      <c r="F70" s="23">
        <v>43125.0</v>
      </c>
      <c r="G70" s="22">
        <v>9.9</v>
      </c>
      <c r="H70" s="13"/>
      <c r="I70" s="13"/>
      <c r="J70" s="22" t="s">
        <v>72</v>
      </c>
      <c r="K70" s="13"/>
      <c r="L70" s="13"/>
      <c r="M70" s="13"/>
      <c r="N70" s="13"/>
      <c r="O70" s="13"/>
      <c r="P70" s="22"/>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row>
    <row r="71">
      <c r="A71" s="22">
        <v>42.0</v>
      </c>
      <c r="B71" s="22" t="s">
        <v>20</v>
      </c>
      <c r="C71" s="22" t="s">
        <v>153</v>
      </c>
      <c r="D71" s="22" t="s">
        <v>153</v>
      </c>
      <c r="E71" s="13"/>
      <c r="F71" s="23">
        <v>45478.0</v>
      </c>
      <c r="G71" s="22">
        <v>11.7</v>
      </c>
      <c r="H71" s="13"/>
      <c r="I71" s="22">
        <v>1.0</v>
      </c>
      <c r="J71" s="13"/>
      <c r="K71" s="13"/>
      <c r="L71" s="24" t="s">
        <v>154</v>
      </c>
      <c r="M71" s="13"/>
      <c r="N71" s="13"/>
      <c r="O71" s="13"/>
      <c r="P71" s="24" t="s">
        <v>155</v>
      </c>
      <c r="Q71" s="22" t="s">
        <v>52</v>
      </c>
      <c r="R71" s="13"/>
      <c r="S71" s="13"/>
      <c r="T71" s="13"/>
      <c r="U71" s="22" t="s">
        <v>20</v>
      </c>
      <c r="V71" s="13"/>
      <c r="W71" s="22">
        <v>16.7685593</v>
      </c>
      <c r="X71" s="22">
        <v>-62.2063961</v>
      </c>
      <c r="Y71" s="13"/>
      <c r="Z71" s="22" t="s">
        <v>26</v>
      </c>
      <c r="AA71" s="22" t="s">
        <v>27</v>
      </c>
      <c r="AB71" s="22" t="s">
        <v>43</v>
      </c>
      <c r="AC71" s="22">
        <v>6.0</v>
      </c>
      <c r="AD71" s="13"/>
      <c r="AE71" s="22" t="s">
        <v>29</v>
      </c>
      <c r="AF71" s="13"/>
      <c r="AG71" s="22" t="s">
        <v>30</v>
      </c>
      <c r="AH71" s="13"/>
      <c r="AI71" s="13"/>
      <c r="AJ71" s="22" t="s">
        <v>156</v>
      </c>
      <c r="AK71" s="13"/>
      <c r="AL71" s="13"/>
      <c r="AM71" s="13"/>
      <c r="AN71" s="13"/>
      <c r="AO71" s="13"/>
      <c r="AP71" s="13"/>
      <c r="AQ71" s="13"/>
      <c r="AR71" s="13"/>
      <c r="AS71" s="13"/>
    </row>
    <row r="72">
      <c r="A72" s="13">
        <v>42.0</v>
      </c>
      <c r="B72" s="22" t="s">
        <v>32</v>
      </c>
      <c r="C72" s="22" t="s">
        <v>153</v>
      </c>
      <c r="D72" s="22" t="s">
        <v>153</v>
      </c>
      <c r="E72" s="22" t="s">
        <v>49</v>
      </c>
      <c r="F72" s="23">
        <v>45699.0</v>
      </c>
      <c r="G72" s="22">
        <v>11.0</v>
      </c>
      <c r="H72" s="13"/>
      <c r="I72" s="13"/>
      <c r="J72" s="13"/>
      <c r="K72" s="13"/>
      <c r="L72" s="13"/>
      <c r="M72" s="13"/>
      <c r="N72" s="13"/>
      <c r="O72" s="13"/>
      <c r="P72" s="24" t="s">
        <v>157</v>
      </c>
      <c r="Q72" s="22" t="s">
        <v>52</v>
      </c>
      <c r="R72" s="22" t="s">
        <v>130</v>
      </c>
      <c r="S72" s="13"/>
      <c r="T72" s="13"/>
      <c r="U72" s="22" t="s">
        <v>32</v>
      </c>
      <c r="V72" s="13"/>
      <c r="W72" s="22">
        <v>16.7684472</v>
      </c>
      <c r="X72" s="22">
        <v>-62.2065503</v>
      </c>
      <c r="Y72" s="13"/>
      <c r="Z72" s="22" t="s">
        <v>26</v>
      </c>
      <c r="AA72" s="22" t="s">
        <v>27</v>
      </c>
      <c r="AB72" s="22" t="s">
        <v>43</v>
      </c>
      <c r="AC72" s="22">
        <v>8.0</v>
      </c>
      <c r="AD72" s="13"/>
      <c r="AE72" s="22" t="s">
        <v>29</v>
      </c>
      <c r="AF72" s="13"/>
      <c r="AG72" s="22" t="s">
        <v>30</v>
      </c>
      <c r="AH72" s="13"/>
      <c r="AI72" s="13"/>
      <c r="AJ72" s="22" t="s">
        <v>158</v>
      </c>
      <c r="AK72" s="13"/>
      <c r="AL72" s="13"/>
      <c r="AM72" s="13"/>
      <c r="AN72" s="22">
        <v>42.0</v>
      </c>
      <c r="AO72" s="13"/>
      <c r="AP72" s="13"/>
      <c r="AQ72" s="13"/>
      <c r="AR72" s="13"/>
      <c r="AS72" s="13"/>
    </row>
    <row r="73">
      <c r="A73" s="22">
        <v>42.0</v>
      </c>
      <c r="B73" s="22" t="s">
        <v>17</v>
      </c>
      <c r="C73" s="22"/>
      <c r="D73" s="22" t="s">
        <v>153</v>
      </c>
      <c r="E73" s="22"/>
      <c r="F73" s="23">
        <v>46063.0</v>
      </c>
      <c r="G73" s="22">
        <v>12.25</v>
      </c>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row>
    <row r="74">
      <c r="A74" s="25">
        <v>43.0</v>
      </c>
      <c r="B74" s="25" t="s">
        <v>13</v>
      </c>
      <c r="C74" s="25" t="s">
        <v>159</v>
      </c>
      <c r="D74" s="25" t="s">
        <v>160</v>
      </c>
      <c r="E74" s="25" t="s">
        <v>38</v>
      </c>
      <c r="F74" s="26">
        <v>43125.0</v>
      </c>
      <c r="G74" s="25">
        <v>10.2</v>
      </c>
      <c r="H74" s="14"/>
      <c r="I74" s="14"/>
      <c r="J74" s="14"/>
      <c r="K74" s="14"/>
      <c r="L74" s="14"/>
      <c r="M74" s="14"/>
      <c r="N74" s="14"/>
      <c r="O74" s="14"/>
      <c r="P74" s="25"/>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27"/>
      <c r="AU74" s="27"/>
      <c r="AV74" s="27"/>
      <c r="AW74" s="27"/>
      <c r="AX74" s="27"/>
      <c r="AY74" s="27"/>
      <c r="AZ74" s="27"/>
      <c r="BA74" s="27"/>
      <c r="BB74" s="27"/>
    </row>
    <row r="75">
      <c r="A75" s="25">
        <v>43.0</v>
      </c>
      <c r="B75" s="25" t="s">
        <v>20</v>
      </c>
      <c r="C75" s="25" t="s">
        <v>159</v>
      </c>
      <c r="D75" s="25" t="s">
        <v>160</v>
      </c>
      <c r="E75" s="14"/>
      <c r="F75" s="26">
        <v>45478.0</v>
      </c>
      <c r="G75" s="25">
        <v>13.8</v>
      </c>
      <c r="H75" s="14"/>
      <c r="I75" s="25">
        <v>1.0</v>
      </c>
      <c r="J75" s="14"/>
      <c r="K75" s="14"/>
      <c r="L75" s="28" t="s">
        <v>161</v>
      </c>
      <c r="M75" s="25" t="s">
        <v>74</v>
      </c>
      <c r="N75" s="25" t="s">
        <v>75</v>
      </c>
      <c r="O75" s="14"/>
      <c r="P75" s="28" t="s">
        <v>162</v>
      </c>
      <c r="Q75" s="25" t="s">
        <v>25</v>
      </c>
      <c r="R75" s="14"/>
      <c r="S75" s="14"/>
      <c r="T75" s="14"/>
      <c r="U75" s="25" t="s">
        <v>20</v>
      </c>
      <c r="V75" s="14"/>
      <c r="W75" s="25">
        <v>16.7685553</v>
      </c>
      <c r="X75" s="25">
        <v>-62.2064633</v>
      </c>
      <c r="Y75" s="14"/>
      <c r="Z75" s="25" t="s">
        <v>26</v>
      </c>
      <c r="AA75" s="25" t="s">
        <v>27</v>
      </c>
      <c r="AB75" s="25" t="s">
        <v>43</v>
      </c>
      <c r="AC75" s="25">
        <v>5.0</v>
      </c>
      <c r="AD75" s="14"/>
      <c r="AE75" s="25" t="s">
        <v>29</v>
      </c>
      <c r="AF75" s="14"/>
      <c r="AG75" s="25" t="s">
        <v>30</v>
      </c>
      <c r="AH75" s="14"/>
      <c r="AI75" s="14"/>
      <c r="AJ75" s="25" t="s">
        <v>163</v>
      </c>
      <c r="AK75" s="14"/>
      <c r="AL75" s="14"/>
      <c r="AM75" s="14"/>
      <c r="AN75" s="14"/>
      <c r="AO75" s="14"/>
      <c r="AP75" s="14"/>
      <c r="AQ75" s="14"/>
      <c r="AR75" s="14"/>
      <c r="AS75" s="14"/>
      <c r="AT75" s="27"/>
      <c r="AU75" s="27"/>
      <c r="AV75" s="27"/>
      <c r="AW75" s="27"/>
      <c r="AX75" s="27"/>
      <c r="AY75" s="27"/>
      <c r="AZ75" s="27"/>
      <c r="BA75" s="27"/>
      <c r="BB75" s="27"/>
    </row>
    <row r="76">
      <c r="A76" s="14">
        <v>43.0</v>
      </c>
      <c r="B76" s="25" t="s">
        <v>55</v>
      </c>
      <c r="C76" s="25" t="s">
        <v>159</v>
      </c>
      <c r="D76" s="25" t="s">
        <v>160</v>
      </c>
      <c r="E76" s="25" t="s">
        <v>56</v>
      </c>
      <c r="F76" s="26">
        <v>45699.0</v>
      </c>
      <c r="G76" s="25">
        <v>14.9</v>
      </c>
      <c r="H76" s="14"/>
      <c r="I76" s="14"/>
      <c r="J76" s="14"/>
      <c r="K76" s="14"/>
      <c r="L76" s="14"/>
      <c r="M76" s="25" t="s">
        <v>74</v>
      </c>
      <c r="N76" s="25" t="s">
        <v>75</v>
      </c>
      <c r="O76" s="14"/>
      <c r="P76" s="28" t="s">
        <v>164</v>
      </c>
      <c r="Q76" s="25" t="s">
        <v>25</v>
      </c>
      <c r="R76" s="25" t="s">
        <v>165</v>
      </c>
      <c r="S76" s="14"/>
      <c r="T76" s="14"/>
      <c r="U76" s="25" t="s">
        <v>55</v>
      </c>
      <c r="V76" s="25" t="s">
        <v>59</v>
      </c>
      <c r="W76" s="25">
        <v>16.76842779</v>
      </c>
      <c r="X76" s="25">
        <v>-62.20647493</v>
      </c>
      <c r="Y76" s="14"/>
      <c r="Z76" s="25" t="s">
        <v>26</v>
      </c>
      <c r="AA76" s="25" t="s">
        <v>27</v>
      </c>
      <c r="AB76" s="25" t="s">
        <v>59</v>
      </c>
      <c r="AC76" s="14"/>
      <c r="AD76" s="14"/>
      <c r="AE76" s="25" t="s">
        <v>29</v>
      </c>
      <c r="AF76" s="14"/>
      <c r="AG76" s="25" t="s">
        <v>59</v>
      </c>
      <c r="AH76" s="14"/>
      <c r="AI76" s="14"/>
      <c r="AJ76" s="25" t="s">
        <v>166</v>
      </c>
      <c r="AK76" s="14"/>
      <c r="AL76" s="14"/>
      <c r="AM76" s="14"/>
      <c r="AN76" s="25">
        <v>43.0</v>
      </c>
      <c r="AO76" s="14"/>
      <c r="AP76" s="14"/>
      <c r="AQ76" s="14"/>
      <c r="AR76" s="14"/>
      <c r="AS76" s="14"/>
      <c r="AT76" s="29"/>
      <c r="AU76" s="29"/>
      <c r="AV76" s="29"/>
      <c r="AW76" s="29"/>
      <c r="AX76" s="29"/>
      <c r="AY76" s="29"/>
      <c r="AZ76" s="29"/>
      <c r="BA76" s="29"/>
      <c r="BB76" s="29"/>
    </row>
    <row r="77">
      <c r="A77" s="1">
        <v>43.0</v>
      </c>
      <c r="B77" s="1" t="s">
        <v>17</v>
      </c>
      <c r="D77" s="1" t="s">
        <v>160</v>
      </c>
      <c r="F77" s="30">
        <v>46063.0</v>
      </c>
      <c r="G77" s="4">
        <v>15.92</v>
      </c>
      <c r="AT77" s="29"/>
      <c r="AU77" s="29"/>
      <c r="AV77" s="29"/>
      <c r="AW77" s="29"/>
      <c r="AX77" s="29"/>
      <c r="AY77" s="29"/>
      <c r="AZ77" s="29"/>
      <c r="BA77" s="29"/>
      <c r="BB77" s="29"/>
    </row>
    <row r="78">
      <c r="A78" s="1">
        <v>44.0</v>
      </c>
      <c r="B78" s="1" t="s">
        <v>13</v>
      </c>
      <c r="C78" s="1" t="s">
        <v>45</v>
      </c>
      <c r="D78" s="1" t="s">
        <v>46</v>
      </c>
      <c r="E78" s="1" t="s">
        <v>38</v>
      </c>
      <c r="F78" s="30">
        <v>43125.0</v>
      </c>
      <c r="G78" s="1">
        <v>15.6</v>
      </c>
      <c r="J78" s="1" t="s">
        <v>72</v>
      </c>
      <c r="P78" s="1"/>
      <c r="AT78" s="29"/>
      <c r="AU78" s="29"/>
      <c r="AV78" s="29"/>
      <c r="AW78" s="29"/>
      <c r="AX78" s="29"/>
      <c r="AY78" s="29"/>
      <c r="AZ78" s="29"/>
      <c r="BA78" s="29"/>
      <c r="BB78" s="29"/>
    </row>
    <row r="79">
      <c r="A79" s="4">
        <v>44.0</v>
      </c>
      <c r="B79" s="1" t="s">
        <v>55</v>
      </c>
      <c r="C79" s="1" t="s">
        <v>167</v>
      </c>
      <c r="D79" s="1" t="s">
        <v>46</v>
      </c>
      <c r="E79" s="1" t="s">
        <v>168</v>
      </c>
      <c r="F79" s="30">
        <v>45699.0</v>
      </c>
      <c r="G79" s="1">
        <v>19.0</v>
      </c>
      <c r="M79" s="1" t="s">
        <v>90</v>
      </c>
      <c r="N79" s="1" t="s">
        <v>91</v>
      </c>
      <c r="P79" s="9" t="s">
        <v>169</v>
      </c>
      <c r="Q79" s="1" t="s">
        <v>25</v>
      </c>
      <c r="R79" s="3">
        <v>45699.0</v>
      </c>
      <c r="S79" s="3">
        <v>45706.0</v>
      </c>
      <c r="T79" s="1" t="s">
        <v>66</v>
      </c>
      <c r="U79" s="1" t="s">
        <v>55</v>
      </c>
      <c r="V79" s="1" t="s">
        <v>59</v>
      </c>
      <c r="W79" s="1">
        <v>16.76851991</v>
      </c>
      <c r="X79" s="1">
        <v>-62.20646052</v>
      </c>
      <c r="Z79" s="1" t="s">
        <v>26</v>
      </c>
      <c r="AA79" s="1" t="s">
        <v>27</v>
      </c>
      <c r="AB79" s="1" t="s">
        <v>170</v>
      </c>
      <c r="AD79" s="1" t="s">
        <v>68</v>
      </c>
      <c r="AE79" s="1" t="s">
        <v>29</v>
      </c>
      <c r="AG79" s="1" t="s">
        <v>59</v>
      </c>
      <c r="AJ79" s="1" t="s">
        <v>171</v>
      </c>
      <c r="AN79" s="1">
        <v>44.0</v>
      </c>
      <c r="AT79" s="31"/>
      <c r="AU79" s="31"/>
      <c r="AV79" s="31"/>
      <c r="AW79" s="31"/>
      <c r="AX79" s="31"/>
      <c r="AY79" s="31"/>
      <c r="AZ79" s="31"/>
      <c r="BA79" s="31"/>
      <c r="BB79" s="31"/>
    </row>
    <row r="80">
      <c r="A80" s="1">
        <v>44.0</v>
      </c>
      <c r="B80" s="1" t="s">
        <v>17</v>
      </c>
      <c r="D80" s="1" t="s">
        <v>46</v>
      </c>
      <c r="F80" s="30">
        <v>46063.0</v>
      </c>
      <c r="G80" s="4">
        <v>20.05</v>
      </c>
      <c r="AT80" s="31"/>
      <c r="AU80" s="31"/>
      <c r="AV80" s="31"/>
      <c r="AW80" s="31"/>
      <c r="AX80" s="31"/>
      <c r="AY80" s="31"/>
      <c r="AZ80" s="31"/>
      <c r="BA80" s="31"/>
      <c r="BB80" s="31"/>
    </row>
    <row r="81">
      <c r="A81" s="1">
        <v>45.0</v>
      </c>
      <c r="B81" s="1" t="s">
        <v>13</v>
      </c>
      <c r="C81" s="1" t="s">
        <v>102</v>
      </c>
      <c r="D81" s="1" t="s">
        <v>103</v>
      </c>
      <c r="F81" s="30">
        <v>43125.0</v>
      </c>
      <c r="G81" s="1">
        <v>13.1</v>
      </c>
      <c r="P81" s="1"/>
      <c r="AT81" s="31"/>
      <c r="AU81" s="31"/>
      <c r="AV81" s="31"/>
      <c r="AW81" s="31"/>
      <c r="AX81" s="31"/>
      <c r="AY81" s="31"/>
      <c r="AZ81" s="31"/>
      <c r="BA81" s="31"/>
      <c r="BB81" s="31"/>
    </row>
    <row r="82">
      <c r="A82" s="4">
        <v>45.0</v>
      </c>
      <c r="B82" s="1" t="s">
        <v>32</v>
      </c>
      <c r="C82" s="1" t="s">
        <v>102</v>
      </c>
      <c r="D82" s="1" t="s">
        <v>103</v>
      </c>
      <c r="E82" s="1" t="s">
        <v>98</v>
      </c>
      <c r="F82" s="30">
        <v>45699.0</v>
      </c>
      <c r="G82" s="1">
        <v>13.7</v>
      </c>
      <c r="M82" s="1" t="s">
        <v>104</v>
      </c>
      <c r="N82" s="1" t="s">
        <v>105</v>
      </c>
      <c r="P82" s="9" t="s">
        <v>172</v>
      </c>
      <c r="Q82" s="1" t="s">
        <v>25</v>
      </c>
      <c r="R82" s="1" t="s">
        <v>173</v>
      </c>
      <c r="U82" s="1" t="s">
        <v>32</v>
      </c>
      <c r="W82" s="1">
        <v>16.7686141</v>
      </c>
      <c r="X82" s="1">
        <v>-62.2066773</v>
      </c>
      <c r="Z82" s="1" t="s">
        <v>26</v>
      </c>
      <c r="AA82" s="1" t="s">
        <v>27</v>
      </c>
      <c r="AB82" s="1" t="s">
        <v>43</v>
      </c>
      <c r="AC82" s="1">
        <v>10.0</v>
      </c>
      <c r="AE82" s="1" t="s">
        <v>29</v>
      </c>
      <c r="AG82" s="1" t="s">
        <v>30</v>
      </c>
      <c r="AJ82" s="1" t="s">
        <v>174</v>
      </c>
      <c r="AN82" s="1">
        <v>45.0</v>
      </c>
      <c r="AT82" s="32"/>
      <c r="AU82" s="32"/>
      <c r="AV82" s="32"/>
      <c r="AW82" s="32"/>
      <c r="AX82" s="32"/>
      <c r="AY82" s="32"/>
      <c r="AZ82" s="32"/>
      <c r="BA82" s="32"/>
      <c r="BB82" s="32"/>
    </row>
    <row r="83">
      <c r="A83" s="1">
        <v>45.0</v>
      </c>
      <c r="B83" s="1" t="s">
        <v>17</v>
      </c>
      <c r="D83" s="1" t="s">
        <v>103</v>
      </c>
      <c r="F83" s="30">
        <v>46063.0</v>
      </c>
      <c r="G83" s="4">
        <v>14.32</v>
      </c>
      <c r="AT83" s="32"/>
      <c r="AU83" s="32"/>
      <c r="AV83" s="32"/>
      <c r="AW83" s="32"/>
      <c r="AX83" s="32"/>
      <c r="AY83" s="32"/>
      <c r="AZ83" s="32"/>
      <c r="BA83" s="32"/>
      <c r="BB83" s="32"/>
    </row>
    <row r="84">
      <c r="A84" s="33">
        <v>46.0</v>
      </c>
      <c r="B84" s="33" t="s">
        <v>13</v>
      </c>
      <c r="C84" s="33" t="s">
        <v>18</v>
      </c>
      <c r="D84" s="33" t="s">
        <v>19</v>
      </c>
      <c r="E84" s="33"/>
      <c r="F84" s="34">
        <v>43125.0</v>
      </c>
      <c r="G84" s="33">
        <v>25.1</v>
      </c>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row>
    <row r="85">
      <c r="A85" s="33">
        <v>46.0</v>
      </c>
      <c r="B85" s="33" t="s">
        <v>32</v>
      </c>
      <c r="C85" s="33" t="s">
        <v>18</v>
      </c>
      <c r="D85" s="33" t="s">
        <v>19</v>
      </c>
      <c r="E85" s="33" t="s">
        <v>98</v>
      </c>
      <c r="F85" s="34">
        <v>45699.0</v>
      </c>
      <c r="G85" s="33">
        <v>27.0</v>
      </c>
      <c r="H85" s="33"/>
      <c r="I85" s="33"/>
      <c r="J85" s="33"/>
      <c r="K85" s="33"/>
      <c r="L85" s="33"/>
      <c r="M85" s="33" t="s">
        <v>22</v>
      </c>
      <c r="N85" s="33" t="s">
        <v>23</v>
      </c>
      <c r="O85" s="33"/>
      <c r="P85" s="35" t="s">
        <v>175</v>
      </c>
      <c r="Q85" s="33" t="s">
        <v>25</v>
      </c>
      <c r="R85" s="33" t="s">
        <v>176</v>
      </c>
      <c r="S85" s="33"/>
      <c r="T85" s="33"/>
      <c r="U85" s="33" t="s">
        <v>32</v>
      </c>
      <c r="V85" s="33"/>
      <c r="W85" s="33">
        <v>16.768761</v>
      </c>
      <c r="X85" s="33">
        <v>-62.206507</v>
      </c>
      <c r="Y85" s="33"/>
      <c r="Z85" s="33" t="s">
        <v>26</v>
      </c>
      <c r="AA85" s="33" t="s">
        <v>27</v>
      </c>
      <c r="AB85" s="33" t="s">
        <v>43</v>
      </c>
      <c r="AC85" s="33">
        <v>8.0</v>
      </c>
      <c r="AD85" s="33"/>
      <c r="AE85" s="33" t="s">
        <v>29</v>
      </c>
      <c r="AF85" s="33"/>
      <c r="AG85" s="33" t="s">
        <v>30</v>
      </c>
      <c r="AH85" s="33"/>
      <c r="AI85" s="33"/>
      <c r="AJ85" s="33" t="s">
        <v>177</v>
      </c>
      <c r="AK85" s="33"/>
      <c r="AL85" s="33"/>
      <c r="AM85" s="33"/>
      <c r="AN85" s="33">
        <v>46.0</v>
      </c>
      <c r="AO85" s="33"/>
      <c r="AP85" s="33"/>
      <c r="AQ85" s="33"/>
      <c r="AR85" s="33"/>
      <c r="AS85" s="33"/>
      <c r="AT85" s="33"/>
      <c r="AU85" s="33"/>
      <c r="AV85" s="33"/>
      <c r="AW85" s="33"/>
      <c r="AX85" s="33"/>
      <c r="AY85" s="33"/>
      <c r="AZ85" s="33"/>
      <c r="BA85" s="33"/>
      <c r="BB85" s="33"/>
    </row>
    <row r="86">
      <c r="A86" s="33">
        <v>46.0</v>
      </c>
      <c r="B86" s="33" t="s">
        <v>17</v>
      </c>
      <c r="C86" s="33"/>
      <c r="D86" s="33" t="s">
        <v>19</v>
      </c>
      <c r="E86" s="33"/>
      <c r="F86" s="34">
        <v>46063.0</v>
      </c>
      <c r="G86" s="33">
        <v>24.83</v>
      </c>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row>
    <row r="87">
      <c r="A87" s="6">
        <v>47.0</v>
      </c>
      <c r="B87" s="6" t="s">
        <v>13</v>
      </c>
      <c r="C87" s="6" t="s">
        <v>178</v>
      </c>
      <c r="D87" s="6" t="s">
        <v>179</v>
      </c>
      <c r="E87" s="6" t="s">
        <v>38</v>
      </c>
      <c r="F87" s="36">
        <v>43125.0</v>
      </c>
      <c r="G87" s="6">
        <v>13.4</v>
      </c>
      <c r="H87" s="6"/>
      <c r="I87" s="6"/>
      <c r="J87" s="6" t="s">
        <v>180</v>
      </c>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row>
    <row r="88">
      <c r="A88" s="6">
        <v>47.0</v>
      </c>
      <c r="B88" s="6" t="s">
        <v>32</v>
      </c>
      <c r="C88" s="6" t="s">
        <v>178</v>
      </c>
      <c r="D88" s="6" t="s">
        <v>179</v>
      </c>
      <c r="E88" s="6" t="s">
        <v>98</v>
      </c>
      <c r="F88" s="36">
        <v>45699.0</v>
      </c>
      <c r="G88" s="6">
        <v>17.0</v>
      </c>
      <c r="H88" s="6"/>
      <c r="I88" s="6"/>
      <c r="J88" s="6" t="s">
        <v>181</v>
      </c>
      <c r="K88" s="6"/>
      <c r="L88" s="6"/>
      <c r="M88" s="6" t="s">
        <v>182</v>
      </c>
      <c r="N88" s="6" t="s">
        <v>183</v>
      </c>
      <c r="O88" s="6"/>
      <c r="P88" s="8" t="s">
        <v>184</v>
      </c>
      <c r="Q88" s="6" t="s">
        <v>25</v>
      </c>
      <c r="R88" s="6" t="s">
        <v>185</v>
      </c>
      <c r="S88" s="6"/>
      <c r="T88" s="6"/>
      <c r="U88" s="6" t="s">
        <v>32</v>
      </c>
      <c r="V88" s="6"/>
      <c r="W88" s="6">
        <v>16.7687391</v>
      </c>
      <c r="X88" s="6">
        <v>-62.2064902</v>
      </c>
      <c r="Y88" s="6"/>
      <c r="Z88" s="6" t="s">
        <v>26</v>
      </c>
      <c r="AA88" s="6" t="s">
        <v>27</v>
      </c>
      <c r="AB88" s="6" t="s">
        <v>43</v>
      </c>
      <c r="AC88" s="6">
        <v>13.0</v>
      </c>
      <c r="AD88" s="6"/>
      <c r="AE88" s="6" t="s">
        <v>29</v>
      </c>
      <c r="AF88" s="6"/>
      <c r="AG88" s="6" t="s">
        <v>30</v>
      </c>
      <c r="AH88" s="6"/>
      <c r="AI88" s="6"/>
      <c r="AJ88" s="6" t="s">
        <v>186</v>
      </c>
      <c r="AK88" s="6"/>
      <c r="AL88" s="6"/>
      <c r="AM88" s="6"/>
      <c r="AN88" s="6">
        <v>47.0</v>
      </c>
      <c r="AO88" s="6"/>
      <c r="AP88" s="6"/>
      <c r="AQ88" s="6"/>
      <c r="AR88" s="6"/>
      <c r="AS88" s="6"/>
      <c r="AT88" s="6"/>
      <c r="AU88" s="6"/>
      <c r="AV88" s="6"/>
      <c r="AW88" s="6"/>
      <c r="AX88" s="6"/>
      <c r="AY88" s="6"/>
      <c r="AZ88" s="6"/>
      <c r="BA88" s="6"/>
      <c r="BB88" s="6"/>
    </row>
    <row r="89">
      <c r="A89" s="6">
        <v>47.0</v>
      </c>
      <c r="B89" s="6" t="s">
        <v>55</v>
      </c>
      <c r="C89" s="6" t="s">
        <v>178</v>
      </c>
      <c r="D89" s="6" t="s">
        <v>179</v>
      </c>
      <c r="E89" s="6" t="s">
        <v>73</v>
      </c>
      <c r="F89" s="36">
        <v>45699.0</v>
      </c>
      <c r="G89" s="6">
        <v>17.0</v>
      </c>
      <c r="H89" s="6"/>
      <c r="I89" s="6"/>
      <c r="J89" s="6"/>
      <c r="K89" s="6"/>
      <c r="L89" s="6"/>
      <c r="M89" s="6" t="s">
        <v>182</v>
      </c>
      <c r="N89" s="6" t="s">
        <v>183</v>
      </c>
      <c r="O89" s="6"/>
      <c r="P89" s="8" t="s">
        <v>187</v>
      </c>
      <c r="Q89" s="6" t="s">
        <v>25</v>
      </c>
      <c r="R89" s="6" t="s">
        <v>188</v>
      </c>
      <c r="S89" s="6"/>
      <c r="T89" s="6"/>
      <c r="U89" s="6" t="s">
        <v>55</v>
      </c>
      <c r="V89" s="6" t="s">
        <v>59</v>
      </c>
      <c r="W89" s="6">
        <v>16.76873096</v>
      </c>
      <c r="X89" s="6">
        <v>-62.20646186</v>
      </c>
      <c r="Y89" s="6"/>
      <c r="Z89" s="6" t="s">
        <v>26</v>
      </c>
      <c r="AA89" s="6" t="s">
        <v>27</v>
      </c>
      <c r="AB89" s="6" t="s">
        <v>59</v>
      </c>
      <c r="AC89" s="6">
        <v>5.0</v>
      </c>
      <c r="AD89" s="6"/>
      <c r="AE89" s="6" t="s">
        <v>29</v>
      </c>
      <c r="AF89" s="6"/>
      <c r="AG89" s="6" t="s">
        <v>59</v>
      </c>
      <c r="AH89" s="6"/>
      <c r="AI89" s="6"/>
      <c r="AJ89" s="6" t="s">
        <v>189</v>
      </c>
      <c r="AK89" s="6"/>
      <c r="AL89" s="6"/>
      <c r="AM89" s="6"/>
      <c r="AN89" s="6">
        <v>47.0</v>
      </c>
      <c r="AO89" s="6"/>
      <c r="AP89" s="6"/>
      <c r="AQ89" s="6"/>
      <c r="AR89" s="6"/>
      <c r="AS89" s="6"/>
      <c r="AT89" s="6"/>
      <c r="AU89" s="6"/>
      <c r="AV89" s="6"/>
      <c r="AW89" s="6"/>
      <c r="AX89" s="6"/>
      <c r="AY89" s="6"/>
      <c r="AZ89" s="6"/>
      <c r="BA89" s="6"/>
      <c r="BB89" s="6"/>
    </row>
    <row r="90">
      <c r="A90" s="6">
        <v>47.0</v>
      </c>
      <c r="B90" s="6" t="s">
        <v>17</v>
      </c>
      <c r="C90" s="6"/>
      <c r="D90" s="6" t="s">
        <v>179</v>
      </c>
      <c r="E90" s="6"/>
      <c r="F90" s="36">
        <v>46063.0</v>
      </c>
      <c r="G90" s="6">
        <v>17.51</v>
      </c>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row>
    <row r="91">
      <c r="A91" s="33">
        <v>48.0</v>
      </c>
      <c r="B91" s="33" t="s">
        <v>13</v>
      </c>
      <c r="C91" s="33" t="s">
        <v>190</v>
      </c>
      <c r="D91" s="33" t="s">
        <v>191</v>
      </c>
      <c r="E91" s="19"/>
      <c r="F91" s="34">
        <v>43125.0</v>
      </c>
      <c r="G91" s="33">
        <v>20.1</v>
      </c>
      <c r="H91" s="19"/>
      <c r="I91" s="19"/>
      <c r="J91" s="19"/>
      <c r="K91" s="19"/>
      <c r="L91" s="19"/>
      <c r="M91" s="19"/>
      <c r="N91" s="19"/>
      <c r="O91" s="19"/>
      <c r="P91" s="33"/>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row>
    <row r="92">
      <c r="A92" s="33">
        <v>48.0</v>
      </c>
      <c r="B92" s="33" t="s">
        <v>20</v>
      </c>
      <c r="C92" s="33" t="s">
        <v>190</v>
      </c>
      <c r="D92" s="33" t="s">
        <v>191</v>
      </c>
      <c r="E92" s="19"/>
      <c r="F92" s="34">
        <v>45478.0</v>
      </c>
      <c r="G92" s="33">
        <v>24.9</v>
      </c>
      <c r="H92" s="19"/>
      <c r="I92" s="33">
        <v>1.0</v>
      </c>
      <c r="J92" s="19"/>
      <c r="K92" s="19"/>
      <c r="L92" s="35" t="s">
        <v>192</v>
      </c>
      <c r="M92" s="33" t="s">
        <v>193</v>
      </c>
      <c r="N92" s="33" t="s">
        <v>194</v>
      </c>
      <c r="O92" s="19"/>
      <c r="P92" s="35" t="s">
        <v>195</v>
      </c>
      <c r="Q92" s="33" t="s">
        <v>25</v>
      </c>
      <c r="R92" s="19"/>
      <c r="S92" s="19"/>
      <c r="T92" s="19"/>
      <c r="U92" s="33" t="s">
        <v>20</v>
      </c>
      <c r="V92" s="19"/>
      <c r="W92" s="33">
        <v>16.7686748</v>
      </c>
      <c r="X92" s="33">
        <v>-62.20649</v>
      </c>
      <c r="Y92" s="19"/>
      <c r="Z92" s="33" t="s">
        <v>26</v>
      </c>
      <c r="AA92" s="33" t="s">
        <v>27</v>
      </c>
      <c r="AB92" s="33" t="s">
        <v>43</v>
      </c>
      <c r="AC92" s="33">
        <v>5.0</v>
      </c>
      <c r="AD92" s="19"/>
      <c r="AE92" s="33" t="s">
        <v>29</v>
      </c>
      <c r="AF92" s="19"/>
      <c r="AG92" s="33" t="s">
        <v>30</v>
      </c>
      <c r="AH92" s="19"/>
      <c r="AI92" s="19"/>
      <c r="AJ92" s="33" t="s">
        <v>196</v>
      </c>
      <c r="AK92" s="19"/>
      <c r="AL92" s="19"/>
      <c r="AM92" s="19"/>
      <c r="AN92" s="19"/>
      <c r="AO92" s="19"/>
      <c r="AP92" s="19"/>
      <c r="AQ92" s="19"/>
      <c r="AR92" s="19"/>
      <c r="AS92" s="19"/>
      <c r="AT92" s="5"/>
      <c r="AU92" s="5"/>
      <c r="AV92" s="5"/>
      <c r="AW92" s="5"/>
      <c r="AX92" s="5"/>
      <c r="AY92" s="5"/>
      <c r="AZ92" s="5"/>
      <c r="BA92" s="5"/>
      <c r="BB92" s="5"/>
    </row>
    <row r="93">
      <c r="A93" s="19">
        <v>48.0</v>
      </c>
      <c r="B93" s="33" t="s">
        <v>32</v>
      </c>
      <c r="C93" s="33" t="s">
        <v>190</v>
      </c>
      <c r="D93" s="33" t="s">
        <v>191</v>
      </c>
      <c r="E93" s="33" t="s">
        <v>197</v>
      </c>
      <c r="F93" s="34">
        <v>45699.0</v>
      </c>
      <c r="G93" s="33">
        <v>25.25</v>
      </c>
      <c r="H93" s="19"/>
      <c r="I93" s="19"/>
      <c r="J93" s="19"/>
      <c r="K93" s="19"/>
      <c r="L93" s="19"/>
      <c r="M93" s="33" t="s">
        <v>193</v>
      </c>
      <c r="N93" s="33" t="s">
        <v>194</v>
      </c>
      <c r="O93" s="19"/>
      <c r="P93" s="35" t="s">
        <v>198</v>
      </c>
      <c r="Q93" s="33" t="s">
        <v>25</v>
      </c>
      <c r="R93" s="33" t="s">
        <v>199</v>
      </c>
      <c r="S93" s="19"/>
      <c r="T93" s="19"/>
      <c r="U93" s="33" t="s">
        <v>32</v>
      </c>
      <c r="V93" s="19"/>
      <c r="W93" s="33">
        <v>16.768597</v>
      </c>
      <c r="X93" s="33">
        <v>-62.2065509</v>
      </c>
      <c r="Y93" s="19"/>
      <c r="Z93" s="33" t="s">
        <v>26</v>
      </c>
      <c r="AA93" s="33" t="s">
        <v>27</v>
      </c>
      <c r="AB93" s="33" t="s">
        <v>43</v>
      </c>
      <c r="AC93" s="19"/>
      <c r="AD93" s="19"/>
      <c r="AE93" s="33" t="s">
        <v>29</v>
      </c>
      <c r="AF93" s="19"/>
      <c r="AG93" s="33" t="s">
        <v>30</v>
      </c>
      <c r="AH93" s="19"/>
      <c r="AI93" s="19"/>
      <c r="AJ93" s="33" t="s">
        <v>200</v>
      </c>
      <c r="AK93" s="19"/>
      <c r="AL93" s="19"/>
      <c r="AM93" s="19"/>
      <c r="AN93" s="33">
        <v>48.0</v>
      </c>
      <c r="AO93" s="19"/>
      <c r="AP93" s="19"/>
      <c r="AQ93" s="19"/>
      <c r="AR93" s="19"/>
      <c r="AS93" s="19"/>
      <c r="AT93" s="5"/>
      <c r="AU93" s="5"/>
      <c r="AV93" s="5"/>
      <c r="AW93" s="5"/>
      <c r="AX93" s="5"/>
      <c r="AY93" s="5"/>
      <c r="AZ93" s="5"/>
      <c r="BA93" s="5"/>
      <c r="BB93" s="5"/>
    </row>
    <row r="94">
      <c r="A94" s="1">
        <v>48.0</v>
      </c>
      <c r="B94" s="1" t="s">
        <v>17</v>
      </c>
      <c r="D94" s="33" t="s">
        <v>191</v>
      </c>
      <c r="F94" s="30">
        <v>46063.0</v>
      </c>
      <c r="G94" s="4">
        <v>26.42</v>
      </c>
      <c r="AT94" s="5"/>
      <c r="AU94" s="5"/>
      <c r="AV94" s="5"/>
      <c r="AW94" s="5"/>
      <c r="AX94" s="5"/>
      <c r="AY94" s="5"/>
      <c r="AZ94" s="5"/>
      <c r="BA94" s="5"/>
      <c r="BB94" s="5"/>
    </row>
    <row r="95">
      <c r="A95" s="1">
        <v>49.0</v>
      </c>
      <c r="B95" s="1" t="s">
        <v>13</v>
      </c>
      <c r="C95" s="1" t="s">
        <v>102</v>
      </c>
      <c r="D95" s="1" t="s">
        <v>103</v>
      </c>
      <c r="F95" s="30">
        <v>43125.0</v>
      </c>
      <c r="G95" s="1">
        <v>20.4</v>
      </c>
      <c r="P95" s="1"/>
      <c r="AT95" s="37"/>
      <c r="AU95" s="37"/>
      <c r="AV95" s="37"/>
      <c r="AW95" s="37"/>
      <c r="AX95" s="37"/>
      <c r="AY95" s="37"/>
      <c r="AZ95" s="37"/>
      <c r="BA95" s="37"/>
      <c r="BB95" s="37"/>
    </row>
    <row r="96">
      <c r="A96" s="4">
        <v>49.0</v>
      </c>
      <c r="B96" s="1" t="s">
        <v>32</v>
      </c>
      <c r="C96" s="1" t="s">
        <v>102</v>
      </c>
      <c r="D96" s="1" t="s">
        <v>103</v>
      </c>
      <c r="E96" s="1" t="s">
        <v>201</v>
      </c>
      <c r="F96" s="3">
        <v>45699.0</v>
      </c>
      <c r="G96" s="1">
        <v>26.0</v>
      </c>
      <c r="J96" s="1" t="s">
        <v>202</v>
      </c>
      <c r="M96" s="1" t="s">
        <v>104</v>
      </c>
      <c r="N96" s="1" t="s">
        <v>105</v>
      </c>
      <c r="P96" s="9" t="s">
        <v>203</v>
      </c>
      <c r="Q96" s="1" t="s">
        <v>25</v>
      </c>
      <c r="R96" s="1" t="s">
        <v>204</v>
      </c>
      <c r="U96" s="1" t="s">
        <v>32</v>
      </c>
      <c r="W96" s="1">
        <v>16.7687747</v>
      </c>
      <c r="X96" s="1">
        <v>-62.2066029</v>
      </c>
      <c r="Z96" s="1" t="s">
        <v>26</v>
      </c>
      <c r="AA96" s="1" t="s">
        <v>27</v>
      </c>
      <c r="AB96" s="1" t="s">
        <v>43</v>
      </c>
      <c r="AC96" s="1">
        <v>14.0</v>
      </c>
      <c r="AE96" s="1" t="s">
        <v>29</v>
      </c>
      <c r="AG96" s="1" t="s">
        <v>30</v>
      </c>
      <c r="AJ96" s="1" t="s">
        <v>205</v>
      </c>
      <c r="AN96" s="1">
        <v>49.0</v>
      </c>
      <c r="AT96" s="37"/>
      <c r="AU96" s="37"/>
      <c r="AV96" s="37"/>
      <c r="AW96" s="37"/>
      <c r="AX96" s="37"/>
      <c r="AY96" s="37"/>
      <c r="AZ96" s="37"/>
      <c r="BA96" s="37"/>
      <c r="BB96" s="37"/>
    </row>
    <row r="97">
      <c r="A97" s="1">
        <v>49.0</v>
      </c>
      <c r="B97" s="1" t="s">
        <v>17</v>
      </c>
      <c r="D97" s="1" t="s">
        <v>103</v>
      </c>
      <c r="F97" s="3">
        <v>46063.0</v>
      </c>
      <c r="G97" s="4">
        <v>27.53</v>
      </c>
      <c r="AT97" s="37"/>
      <c r="AU97" s="37"/>
      <c r="AV97" s="37"/>
      <c r="AW97" s="37"/>
      <c r="AX97" s="37"/>
      <c r="AY97" s="37"/>
      <c r="AZ97" s="37"/>
      <c r="BA97" s="37"/>
      <c r="BB97" s="37"/>
    </row>
    <row r="98">
      <c r="A98" s="1">
        <v>50.0</v>
      </c>
      <c r="B98" s="1" t="s">
        <v>13</v>
      </c>
      <c r="C98" s="1" t="s">
        <v>102</v>
      </c>
      <c r="D98" s="1" t="s">
        <v>103</v>
      </c>
      <c r="F98" s="3">
        <v>43125.0</v>
      </c>
      <c r="G98" s="1">
        <v>11.5</v>
      </c>
      <c r="P98" s="1"/>
      <c r="AT98" s="38"/>
      <c r="AU98" s="38"/>
      <c r="AV98" s="38"/>
      <c r="AW98" s="38"/>
      <c r="AX98" s="38"/>
      <c r="AY98" s="38"/>
      <c r="AZ98" s="38"/>
      <c r="BA98" s="38"/>
      <c r="BB98" s="38"/>
    </row>
    <row r="99">
      <c r="A99" s="4">
        <v>50.0</v>
      </c>
      <c r="B99" s="1" t="s">
        <v>32</v>
      </c>
      <c r="C99" s="1" t="s">
        <v>102</v>
      </c>
      <c r="D99" s="1" t="s">
        <v>103</v>
      </c>
      <c r="E99" s="1" t="s">
        <v>201</v>
      </c>
      <c r="F99" s="3">
        <v>45699.0</v>
      </c>
      <c r="G99" s="1">
        <v>12.0</v>
      </c>
      <c r="J99" s="1" t="s">
        <v>202</v>
      </c>
      <c r="M99" s="1" t="s">
        <v>104</v>
      </c>
      <c r="N99" s="1" t="s">
        <v>105</v>
      </c>
      <c r="P99" s="9" t="s">
        <v>206</v>
      </c>
      <c r="Q99" s="1" t="s">
        <v>25</v>
      </c>
      <c r="R99" s="1" t="s">
        <v>207</v>
      </c>
      <c r="U99" s="1" t="s">
        <v>32</v>
      </c>
      <c r="W99" s="1">
        <v>16.768702</v>
      </c>
      <c r="X99" s="1">
        <v>-62.2065176</v>
      </c>
      <c r="Z99" s="1" t="s">
        <v>26</v>
      </c>
      <c r="AA99" s="1" t="s">
        <v>27</v>
      </c>
      <c r="AB99" s="1" t="s">
        <v>43</v>
      </c>
      <c r="AC99" s="1">
        <v>6.0</v>
      </c>
      <c r="AE99" s="1" t="s">
        <v>29</v>
      </c>
      <c r="AG99" s="1" t="s">
        <v>30</v>
      </c>
      <c r="AJ99" s="1" t="s">
        <v>208</v>
      </c>
      <c r="AN99" s="1">
        <v>50.0</v>
      </c>
      <c r="AT99" s="38"/>
      <c r="AU99" s="38"/>
      <c r="AV99" s="38"/>
      <c r="AW99" s="38"/>
      <c r="AX99" s="38"/>
      <c r="AY99" s="38"/>
      <c r="AZ99" s="38"/>
      <c r="BA99" s="38"/>
      <c r="BB99" s="38"/>
    </row>
    <row r="100">
      <c r="A100" s="1">
        <v>50.0</v>
      </c>
      <c r="B100" s="1" t="s">
        <v>17</v>
      </c>
      <c r="D100" s="1" t="s">
        <v>103</v>
      </c>
      <c r="F100" s="3">
        <v>46063.0</v>
      </c>
      <c r="J100" s="1" t="s">
        <v>132</v>
      </c>
      <c r="AT100" s="38"/>
      <c r="AU100" s="38"/>
      <c r="AV100" s="38"/>
      <c r="AW100" s="38"/>
      <c r="AX100" s="38"/>
      <c r="AY100" s="38"/>
      <c r="AZ100" s="38"/>
      <c r="BA100" s="38"/>
      <c r="BB100" s="38"/>
    </row>
    <row r="101">
      <c r="A101" s="1">
        <v>51.0</v>
      </c>
      <c r="B101" s="1" t="s">
        <v>13</v>
      </c>
      <c r="C101" s="1" t="s">
        <v>102</v>
      </c>
      <c r="D101" s="1" t="s">
        <v>103</v>
      </c>
      <c r="F101" s="3">
        <v>43125.0</v>
      </c>
      <c r="G101" s="1">
        <v>15.6</v>
      </c>
      <c r="P101" s="1"/>
      <c r="AT101" s="39"/>
      <c r="AU101" s="39"/>
      <c r="AV101" s="39"/>
      <c r="AW101" s="39"/>
      <c r="AX101" s="39"/>
      <c r="AY101" s="39"/>
      <c r="AZ101" s="39"/>
      <c r="BA101" s="39"/>
      <c r="BB101" s="39"/>
    </row>
    <row r="102">
      <c r="A102" s="4">
        <v>51.0</v>
      </c>
      <c r="B102" s="1" t="s">
        <v>32</v>
      </c>
      <c r="C102" s="1" t="s">
        <v>102</v>
      </c>
      <c r="D102" s="1" t="s">
        <v>103</v>
      </c>
      <c r="E102" s="1" t="s">
        <v>201</v>
      </c>
      <c r="F102" s="3">
        <v>45699.0</v>
      </c>
      <c r="G102" s="1">
        <v>15.5</v>
      </c>
      <c r="M102" s="1" t="s">
        <v>104</v>
      </c>
      <c r="N102" s="1" t="s">
        <v>105</v>
      </c>
      <c r="P102" s="9" t="s">
        <v>209</v>
      </c>
      <c r="Q102" s="1" t="s">
        <v>25</v>
      </c>
      <c r="R102" s="1" t="s">
        <v>210</v>
      </c>
      <c r="U102" s="1" t="s">
        <v>32</v>
      </c>
      <c r="W102" s="1">
        <v>16.7687112</v>
      </c>
      <c r="X102" s="1">
        <v>-62.2065202</v>
      </c>
      <c r="Z102" s="1" t="s">
        <v>26</v>
      </c>
      <c r="AA102" s="1" t="s">
        <v>27</v>
      </c>
      <c r="AB102" s="1" t="s">
        <v>43</v>
      </c>
      <c r="AC102" s="1">
        <v>18.0</v>
      </c>
      <c r="AE102" s="1" t="s">
        <v>29</v>
      </c>
      <c r="AG102" s="1" t="s">
        <v>30</v>
      </c>
      <c r="AJ102" s="1" t="s">
        <v>211</v>
      </c>
      <c r="AN102" s="1">
        <v>51.0</v>
      </c>
      <c r="AT102" s="39"/>
      <c r="AU102" s="39"/>
      <c r="AV102" s="39"/>
      <c r="AW102" s="39"/>
      <c r="AX102" s="39"/>
      <c r="AY102" s="39"/>
      <c r="AZ102" s="39"/>
      <c r="BA102" s="39"/>
      <c r="BB102" s="39"/>
    </row>
    <row r="103">
      <c r="A103" s="1">
        <v>51.0</v>
      </c>
      <c r="B103" s="1" t="s">
        <v>17</v>
      </c>
      <c r="D103" s="1" t="s">
        <v>103</v>
      </c>
      <c r="F103" s="3">
        <v>46063.0</v>
      </c>
      <c r="G103" s="4">
        <v>15.92</v>
      </c>
      <c r="AT103" s="39"/>
      <c r="AU103" s="39"/>
      <c r="AV103" s="39"/>
      <c r="AW103" s="39"/>
      <c r="AX103" s="39"/>
      <c r="AY103" s="39"/>
      <c r="AZ103" s="39"/>
      <c r="BA103" s="39"/>
      <c r="BB103" s="39"/>
    </row>
    <row r="104">
      <c r="A104" s="40">
        <v>52.0</v>
      </c>
      <c r="B104" s="40" t="s">
        <v>13</v>
      </c>
      <c r="C104" s="40" t="s">
        <v>127</v>
      </c>
      <c r="D104" s="15" t="s">
        <v>128</v>
      </c>
      <c r="E104" s="27"/>
      <c r="F104" s="41">
        <v>43125.0</v>
      </c>
      <c r="G104" s="40">
        <v>9.9</v>
      </c>
      <c r="H104" s="40">
        <v>7.0</v>
      </c>
      <c r="I104" s="27"/>
      <c r="J104" s="27"/>
      <c r="K104" s="27"/>
      <c r="L104" s="27"/>
      <c r="M104" s="27"/>
      <c r="N104" s="27"/>
      <c r="O104" s="27"/>
      <c r="P104" s="40"/>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c r="A105" s="40">
        <v>52.0</v>
      </c>
      <c r="B105" s="40" t="s">
        <v>20</v>
      </c>
      <c r="C105" s="40" t="s">
        <v>127</v>
      </c>
      <c r="D105" s="15" t="s">
        <v>128</v>
      </c>
      <c r="E105" s="27"/>
      <c r="F105" s="41">
        <v>45478.0</v>
      </c>
      <c r="G105" s="40">
        <v>9.6</v>
      </c>
      <c r="H105" s="40">
        <v>7.3</v>
      </c>
      <c r="I105" s="40">
        <v>1.0</v>
      </c>
      <c r="J105" s="27"/>
      <c r="K105" s="27"/>
      <c r="L105" s="42" t="s">
        <v>212</v>
      </c>
      <c r="M105" s="40" t="s">
        <v>213</v>
      </c>
      <c r="N105" s="40" t="s">
        <v>214</v>
      </c>
      <c r="O105" s="27"/>
      <c r="P105" s="42" t="s">
        <v>215</v>
      </c>
      <c r="Q105" s="40" t="s">
        <v>25</v>
      </c>
      <c r="R105" s="27"/>
      <c r="S105" s="27"/>
      <c r="T105" s="27"/>
      <c r="U105" s="40" t="s">
        <v>20</v>
      </c>
      <c r="V105" s="27"/>
      <c r="W105" s="40">
        <v>16.7684943</v>
      </c>
      <c r="X105" s="40">
        <v>-62.2063459</v>
      </c>
      <c r="Y105" s="27"/>
      <c r="Z105" s="40" t="s">
        <v>26</v>
      </c>
      <c r="AA105" s="40" t="s">
        <v>27</v>
      </c>
      <c r="AB105" s="40" t="s">
        <v>43</v>
      </c>
      <c r="AC105" s="40">
        <v>5.0</v>
      </c>
      <c r="AD105" s="27"/>
      <c r="AE105" s="40" t="s">
        <v>29</v>
      </c>
      <c r="AF105" s="27"/>
      <c r="AG105" s="40" t="s">
        <v>30</v>
      </c>
      <c r="AH105" s="27"/>
      <c r="AI105" s="27"/>
      <c r="AJ105" s="40" t="s">
        <v>216</v>
      </c>
      <c r="AK105" s="27"/>
      <c r="AL105" s="27"/>
      <c r="AM105" s="27"/>
      <c r="AN105" s="27"/>
      <c r="AO105" s="27"/>
      <c r="AP105" s="27"/>
      <c r="AQ105" s="27"/>
      <c r="AR105" s="27"/>
      <c r="AS105" s="27"/>
    </row>
    <row r="106">
      <c r="A106" s="27">
        <v>52.0</v>
      </c>
      <c r="B106" s="40" t="s">
        <v>32</v>
      </c>
      <c r="C106" s="40" t="s">
        <v>48</v>
      </c>
      <c r="D106" s="40" t="s">
        <v>128</v>
      </c>
      <c r="E106" s="40" t="s">
        <v>149</v>
      </c>
      <c r="F106" s="41">
        <v>45699.0</v>
      </c>
      <c r="G106" s="40">
        <v>11.0</v>
      </c>
      <c r="H106" s="40">
        <v>8.0</v>
      </c>
      <c r="I106" s="27"/>
      <c r="J106" s="27"/>
      <c r="K106" s="27"/>
      <c r="L106" s="27"/>
      <c r="M106" s="27"/>
      <c r="N106" s="27"/>
      <c r="O106" s="27"/>
      <c r="P106" s="42" t="s">
        <v>217</v>
      </c>
      <c r="Q106" s="40" t="s">
        <v>52</v>
      </c>
      <c r="R106" s="40" t="s">
        <v>218</v>
      </c>
      <c r="S106" s="27"/>
      <c r="T106" s="27"/>
      <c r="U106" s="40" t="s">
        <v>32</v>
      </c>
      <c r="V106" s="27"/>
      <c r="W106" s="40">
        <v>16.7684507</v>
      </c>
      <c r="X106" s="40">
        <v>-62.2065512</v>
      </c>
      <c r="Y106" s="27"/>
      <c r="Z106" s="40" t="s">
        <v>26</v>
      </c>
      <c r="AA106" s="40" t="s">
        <v>27</v>
      </c>
      <c r="AB106" s="40" t="s">
        <v>43</v>
      </c>
      <c r="AC106" s="40">
        <v>15.0</v>
      </c>
      <c r="AD106" s="27"/>
      <c r="AE106" s="40" t="s">
        <v>29</v>
      </c>
      <c r="AF106" s="27"/>
      <c r="AG106" s="40" t="s">
        <v>30</v>
      </c>
      <c r="AH106" s="27"/>
      <c r="AI106" s="27"/>
      <c r="AJ106" s="40" t="s">
        <v>219</v>
      </c>
      <c r="AK106" s="27"/>
      <c r="AL106" s="27"/>
      <c r="AM106" s="27"/>
      <c r="AN106" s="40">
        <v>52.0</v>
      </c>
      <c r="AO106" s="27"/>
      <c r="AP106" s="27"/>
      <c r="AQ106" s="27"/>
      <c r="AR106" s="27"/>
      <c r="AS106" s="27"/>
    </row>
    <row r="107">
      <c r="A107" s="1">
        <v>52.0</v>
      </c>
      <c r="B107" s="1" t="s">
        <v>17</v>
      </c>
      <c r="D107" s="1" t="s">
        <v>128</v>
      </c>
      <c r="F107" s="3">
        <v>46063.0</v>
      </c>
      <c r="G107" s="4">
        <v>10.19</v>
      </c>
      <c r="H107" s="4">
        <v>7.96</v>
      </c>
    </row>
    <row r="108">
      <c r="A108" s="43">
        <v>53.0</v>
      </c>
      <c r="B108" s="43" t="s">
        <v>13</v>
      </c>
      <c r="C108" s="43" t="s">
        <v>220</v>
      </c>
      <c r="D108" s="43" t="s">
        <v>221</v>
      </c>
      <c r="E108" s="43" t="s">
        <v>38</v>
      </c>
      <c r="F108" s="44">
        <v>43125.0</v>
      </c>
      <c r="G108" s="43">
        <v>11.8</v>
      </c>
      <c r="H108" s="29"/>
      <c r="I108" s="29"/>
      <c r="J108" s="29"/>
      <c r="K108" s="29"/>
      <c r="L108" s="29"/>
      <c r="M108" s="29"/>
      <c r="N108" s="29"/>
      <c r="O108" s="29"/>
      <c r="P108" s="43"/>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row>
    <row r="109">
      <c r="A109" s="43">
        <v>53.0</v>
      </c>
      <c r="B109" s="43" t="s">
        <v>20</v>
      </c>
      <c r="C109" s="43" t="s">
        <v>220</v>
      </c>
      <c r="D109" s="43" t="s">
        <v>221</v>
      </c>
      <c r="E109" s="29"/>
      <c r="F109" s="44">
        <v>45478.0</v>
      </c>
      <c r="G109" s="43">
        <v>18.0</v>
      </c>
      <c r="H109" s="29"/>
      <c r="I109" s="43">
        <v>1.0</v>
      </c>
      <c r="J109" s="29"/>
      <c r="K109" s="29"/>
      <c r="L109" s="45" t="s">
        <v>222</v>
      </c>
      <c r="M109" s="43" t="s">
        <v>223</v>
      </c>
      <c r="N109" s="43" t="s">
        <v>224</v>
      </c>
      <c r="O109" s="29"/>
      <c r="P109" s="45" t="s">
        <v>225</v>
      </c>
      <c r="Q109" s="43" t="s">
        <v>25</v>
      </c>
      <c r="R109" s="29"/>
      <c r="S109" s="29"/>
      <c r="T109" s="29"/>
      <c r="U109" s="43" t="s">
        <v>20</v>
      </c>
      <c r="V109" s="29"/>
      <c r="W109" s="43">
        <v>16.7685044</v>
      </c>
      <c r="X109" s="43">
        <v>-62.2063556</v>
      </c>
      <c r="Y109" s="29"/>
      <c r="Z109" s="43" t="s">
        <v>26</v>
      </c>
      <c r="AA109" s="43" t="s">
        <v>27</v>
      </c>
      <c r="AB109" s="43" t="s">
        <v>43</v>
      </c>
      <c r="AC109" s="43">
        <v>6.0</v>
      </c>
      <c r="AD109" s="29"/>
      <c r="AE109" s="43" t="s">
        <v>29</v>
      </c>
      <c r="AF109" s="29"/>
      <c r="AG109" s="43" t="s">
        <v>30</v>
      </c>
      <c r="AH109" s="29"/>
      <c r="AI109" s="29"/>
      <c r="AJ109" s="43" t="s">
        <v>226</v>
      </c>
      <c r="AK109" s="29"/>
      <c r="AL109" s="29"/>
      <c r="AM109" s="29"/>
      <c r="AN109" s="29"/>
      <c r="AO109" s="29"/>
      <c r="AP109" s="29"/>
      <c r="AQ109" s="29"/>
      <c r="AR109" s="29"/>
      <c r="AS109" s="29"/>
    </row>
    <row r="110">
      <c r="A110" s="29">
        <v>53.0</v>
      </c>
      <c r="B110" s="43" t="s">
        <v>32</v>
      </c>
      <c r="C110" s="43" t="s">
        <v>48</v>
      </c>
      <c r="D110" s="43" t="s">
        <v>221</v>
      </c>
      <c r="E110" s="43" t="s">
        <v>49</v>
      </c>
      <c r="F110" s="44">
        <v>45699.0</v>
      </c>
      <c r="G110" s="43">
        <v>20.7</v>
      </c>
      <c r="H110" s="29"/>
      <c r="I110" s="29"/>
      <c r="J110" s="29"/>
      <c r="K110" s="29"/>
      <c r="L110" s="29"/>
      <c r="M110" s="29"/>
      <c r="N110" s="29"/>
      <c r="O110" s="29"/>
      <c r="P110" s="45" t="s">
        <v>227</v>
      </c>
      <c r="Q110" s="43" t="s">
        <v>52</v>
      </c>
      <c r="R110" s="43" t="s">
        <v>228</v>
      </c>
      <c r="S110" s="29"/>
      <c r="T110" s="29"/>
      <c r="U110" s="43" t="s">
        <v>32</v>
      </c>
      <c r="V110" s="29"/>
      <c r="W110" s="43">
        <v>16.7684463</v>
      </c>
      <c r="X110" s="43">
        <v>-62.2065623</v>
      </c>
      <c r="Y110" s="29"/>
      <c r="Z110" s="43" t="s">
        <v>26</v>
      </c>
      <c r="AA110" s="43" t="s">
        <v>27</v>
      </c>
      <c r="AB110" s="43" t="s">
        <v>43</v>
      </c>
      <c r="AC110" s="43">
        <v>12.0</v>
      </c>
      <c r="AD110" s="29"/>
      <c r="AE110" s="43" t="s">
        <v>29</v>
      </c>
      <c r="AF110" s="29"/>
      <c r="AG110" s="43" t="s">
        <v>30</v>
      </c>
      <c r="AH110" s="29"/>
      <c r="AI110" s="29"/>
      <c r="AJ110" s="43" t="s">
        <v>229</v>
      </c>
      <c r="AK110" s="29"/>
      <c r="AL110" s="29"/>
      <c r="AM110" s="29"/>
      <c r="AN110" s="43">
        <v>53.0</v>
      </c>
      <c r="AO110" s="29"/>
      <c r="AP110" s="29"/>
      <c r="AQ110" s="29"/>
      <c r="AR110" s="29"/>
      <c r="AS110" s="29"/>
    </row>
    <row r="111">
      <c r="A111" s="1">
        <v>53.0</v>
      </c>
      <c r="B111" s="1" t="s">
        <v>17</v>
      </c>
      <c r="D111" s="1" t="s">
        <v>221</v>
      </c>
      <c r="F111" s="3">
        <v>46063.0</v>
      </c>
      <c r="G111" s="4">
        <v>21.65</v>
      </c>
    </row>
    <row r="112">
      <c r="A112" s="46">
        <v>54.0</v>
      </c>
      <c r="B112" s="46" t="s">
        <v>13</v>
      </c>
      <c r="C112" s="46" t="s">
        <v>127</v>
      </c>
      <c r="D112" s="15" t="s">
        <v>128</v>
      </c>
      <c r="E112" s="31"/>
      <c r="F112" s="47">
        <v>43125.0</v>
      </c>
      <c r="G112" s="46">
        <v>10.2</v>
      </c>
      <c r="H112" s="31"/>
      <c r="I112" s="31"/>
      <c r="J112" s="31"/>
      <c r="K112" s="31"/>
      <c r="L112" s="31"/>
      <c r="M112" s="31"/>
      <c r="N112" s="31"/>
      <c r="O112" s="31"/>
      <c r="P112" s="46"/>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row>
    <row r="113">
      <c r="A113" s="46">
        <v>54.0</v>
      </c>
      <c r="B113" s="46" t="s">
        <v>20</v>
      </c>
      <c r="C113" s="46" t="s">
        <v>127</v>
      </c>
      <c r="D113" s="15" t="s">
        <v>128</v>
      </c>
      <c r="E113" s="31"/>
      <c r="F113" s="47">
        <v>45478.0</v>
      </c>
      <c r="G113" s="46">
        <v>11.1</v>
      </c>
      <c r="H113" s="31"/>
      <c r="I113" s="46">
        <v>1.0</v>
      </c>
      <c r="J113" s="31"/>
      <c r="K113" s="31"/>
      <c r="L113" s="48" t="s">
        <v>230</v>
      </c>
      <c r="M113" s="46" t="s">
        <v>213</v>
      </c>
      <c r="N113" s="46" t="s">
        <v>214</v>
      </c>
      <c r="O113" s="31"/>
      <c r="P113" s="48" t="s">
        <v>231</v>
      </c>
      <c r="Q113" s="46" t="s">
        <v>25</v>
      </c>
      <c r="R113" s="31"/>
      <c r="S113" s="31"/>
      <c r="T113" s="31"/>
      <c r="U113" s="46" t="s">
        <v>20</v>
      </c>
      <c r="V113" s="31"/>
      <c r="W113" s="46">
        <v>16.7684868</v>
      </c>
      <c r="X113" s="46">
        <v>-62.2063288</v>
      </c>
      <c r="Y113" s="31"/>
      <c r="Z113" s="46" t="s">
        <v>26</v>
      </c>
      <c r="AA113" s="46" t="s">
        <v>27</v>
      </c>
      <c r="AB113" s="46" t="s">
        <v>43</v>
      </c>
      <c r="AC113" s="46">
        <v>5.0</v>
      </c>
      <c r="AD113" s="31"/>
      <c r="AE113" s="46" t="s">
        <v>29</v>
      </c>
      <c r="AF113" s="31"/>
      <c r="AG113" s="46" t="s">
        <v>30</v>
      </c>
      <c r="AH113" s="31"/>
      <c r="AI113" s="31"/>
      <c r="AJ113" s="46" t="s">
        <v>232</v>
      </c>
      <c r="AK113" s="31"/>
      <c r="AL113" s="31"/>
      <c r="AM113" s="31"/>
      <c r="AN113" s="31"/>
      <c r="AO113" s="31"/>
      <c r="AP113" s="31"/>
      <c r="AQ113" s="31"/>
      <c r="AR113" s="31"/>
      <c r="AS113" s="31"/>
      <c r="AT113" s="49"/>
      <c r="AU113" s="49"/>
      <c r="AV113" s="49"/>
      <c r="AW113" s="49"/>
      <c r="AX113" s="49"/>
      <c r="AY113" s="49"/>
      <c r="AZ113" s="49"/>
      <c r="BA113" s="49"/>
      <c r="BB113" s="49"/>
    </row>
    <row r="114">
      <c r="A114" s="31">
        <v>54.0</v>
      </c>
      <c r="B114" s="46" t="s">
        <v>32</v>
      </c>
      <c r="C114" s="46" t="s">
        <v>48</v>
      </c>
      <c r="D114" s="15" t="s">
        <v>128</v>
      </c>
      <c r="E114" s="46" t="s">
        <v>49</v>
      </c>
      <c r="F114" s="47">
        <v>45699.0</v>
      </c>
      <c r="G114" s="46">
        <v>15.0</v>
      </c>
      <c r="H114" s="31"/>
      <c r="I114" s="31"/>
      <c r="J114" s="31"/>
      <c r="K114" s="31"/>
      <c r="L114" s="31"/>
      <c r="M114" s="31"/>
      <c r="N114" s="31"/>
      <c r="O114" s="31"/>
      <c r="P114" s="48" t="s">
        <v>233</v>
      </c>
      <c r="Q114" s="46" t="s">
        <v>52</v>
      </c>
      <c r="R114" s="46" t="s">
        <v>228</v>
      </c>
      <c r="S114" s="31"/>
      <c r="T114" s="31"/>
      <c r="U114" s="46" t="s">
        <v>32</v>
      </c>
      <c r="V114" s="31"/>
      <c r="W114" s="46">
        <v>16.7684542</v>
      </c>
      <c r="X114" s="46">
        <v>-62.2065518</v>
      </c>
      <c r="Y114" s="31"/>
      <c r="Z114" s="46" t="s">
        <v>26</v>
      </c>
      <c r="AA114" s="46" t="s">
        <v>27</v>
      </c>
      <c r="AB114" s="46" t="s">
        <v>43</v>
      </c>
      <c r="AC114" s="46">
        <v>9.0</v>
      </c>
      <c r="AD114" s="31"/>
      <c r="AE114" s="46" t="s">
        <v>29</v>
      </c>
      <c r="AF114" s="31"/>
      <c r="AG114" s="46" t="s">
        <v>30</v>
      </c>
      <c r="AH114" s="31"/>
      <c r="AI114" s="31"/>
      <c r="AJ114" s="46" t="s">
        <v>234</v>
      </c>
      <c r="AK114" s="31"/>
      <c r="AL114" s="31"/>
      <c r="AM114" s="31"/>
      <c r="AN114" s="46">
        <v>54.0</v>
      </c>
      <c r="AO114" s="31"/>
      <c r="AP114" s="31"/>
      <c r="AQ114" s="31"/>
      <c r="AR114" s="31"/>
      <c r="AS114" s="31"/>
      <c r="AT114" s="49"/>
      <c r="AU114" s="49"/>
      <c r="AV114" s="49"/>
      <c r="AW114" s="49"/>
      <c r="AX114" s="49"/>
      <c r="AY114" s="49"/>
      <c r="AZ114" s="49"/>
      <c r="BA114" s="49"/>
      <c r="BB114" s="49"/>
    </row>
    <row r="115">
      <c r="A115" s="1">
        <v>54.0</v>
      </c>
      <c r="B115" s="1" t="s">
        <v>17</v>
      </c>
      <c r="D115" s="15" t="s">
        <v>128</v>
      </c>
      <c r="F115" s="3">
        <v>46063.0</v>
      </c>
      <c r="G115" s="4">
        <v>14.01</v>
      </c>
      <c r="AT115" s="49"/>
      <c r="AU115" s="49"/>
      <c r="AV115" s="49"/>
      <c r="AW115" s="49"/>
      <c r="AX115" s="49"/>
      <c r="AY115" s="49"/>
      <c r="AZ115" s="49"/>
      <c r="BA115" s="49"/>
      <c r="BB115" s="49"/>
    </row>
    <row r="116">
      <c r="A116" s="15">
        <v>55.0</v>
      </c>
      <c r="B116" s="15" t="s">
        <v>13</v>
      </c>
      <c r="C116" s="15" t="s">
        <v>127</v>
      </c>
      <c r="D116" s="15" t="s">
        <v>128</v>
      </c>
      <c r="E116" s="32"/>
      <c r="F116" s="50">
        <v>43125.0</v>
      </c>
      <c r="G116" s="15">
        <v>9.2</v>
      </c>
      <c r="H116" s="15">
        <v>4.5</v>
      </c>
      <c r="I116" s="15">
        <v>2.9</v>
      </c>
      <c r="J116" s="32"/>
      <c r="K116" s="32"/>
      <c r="L116" s="32"/>
      <c r="M116" s="32"/>
      <c r="N116" s="32"/>
      <c r="O116" s="32"/>
      <c r="P116" s="15"/>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row>
    <row r="117">
      <c r="A117" s="15">
        <v>55.0</v>
      </c>
      <c r="B117" s="15" t="s">
        <v>20</v>
      </c>
      <c r="C117" s="15" t="s">
        <v>127</v>
      </c>
      <c r="D117" s="15" t="s">
        <v>128</v>
      </c>
      <c r="E117" s="32"/>
      <c r="F117" s="50">
        <v>45478.0</v>
      </c>
      <c r="G117" s="15">
        <v>9.9</v>
      </c>
      <c r="H117" s="32"/>
      <c r="I117" s="15">
        <v>1.0</v>
      </c>
      <c r="J117" s="32"/>
      <c r="K117" s="51" t="s">
        <v>235</v>
      </c>
      <c r="L117" s="51" t="s">
        <v>236</v>
      </c>
      <c r="M117" s="15" t="s">
        <v>213</v>
      </c>
      <c r="N117" s="15" t="s">
        <v>214</v>
      </c>
      <c r="O117" s="32"/>
      <c r="P117" s="51" t="s">
        <v>237</v>
      </c>
      <c r="Q117" s="15" t="s">
        <v>25</v>
      </c>
      <c r="R117" s="32"/>
      <c r="S117" s="32"/>
      <c r="T117" s="32"/>
      <c r="U117" s="15" t="s">
        <v>20</v>
      </c>
      <c r="V117" s="32"/>
      <c r="W117" s="15">
        <v>16.7685327</v>
      </c>
      <c r="X117" s="15">
        <v>-62.20632</v>
      </c>
      <c r="Y117" s="32"/>
      <c r="Z117" s="15" t="s">
        <v>26</v>
      </c>
      <c r="AA117" s="15" t="s">
        <v>27</v>
      </c>
      <c r="AB117" s="15" t="s">
        <v>43</v>
      </c>
      <c r="AC117" s="15">
        <v>5.0</v>
      </c>
      <c r="AD117" s="32"/>
      <c r="AE117" s="15" t="s">
        <v>29</v>
      </c>
      <c r="AF117" s="32"/>
      <c r="AG117" s="15" t="s">
        <v>30</v>
      </c>
      <c r="AH117" s="32"/>
      <c r="AI117" s="32"/>
      <c r="AJ117" s="15" t="s">
        <v>238</v>
      </c>
      <c r="AK117" s="32"/>
      <c r="AL117" s="32"/>
      <c r="AM117" s="32"/>
      <c r="AN117" s="32"/>
      <c r="AO117" s="32"/>
      <c r="AP117" s="32"/>
      <c r="AQ117" s="32"/>
      <c r="AR117" s="32"/>
      <c r="AS117" s="32"/>
    </row>
    <row r="118">
      <c r="A118" s="32">
        <v>55.0</v>
      </c>
      <c r="B118" s="15" t="s">
        <v>32</v>
      </c>
      <c r="C118" s="15" t="s">
        <v>48</v>
      </c>
      <c r="D118" s="15" t="s">
        <v>128</v>
      </c>
      <c r="E118" s="15" t="s">
        <v>149</v>
      </c>
      <c r="F118" s="50">
        <v>45699.0</v>
      </c>
      <c r="G118" s="15">
        <v>10.0</v>
      </c>
      <c r="H118" s="32"/>
      <c r="I118" s="32"/>
      <c r="J118" s="32"/>
      <c r="K118" s="32"/>
      <c r="L118" s="32"/>
      <c r="M118" s="32"/>
      <c r="N118" s="32"/>
      <c r="O118" s="32"/>
      <c r="P118" s="51" t="s">
        <v>239</v>
      </c>
      <c r="Q118" s="15" t="s">
        <v>52</v>
      </c>
      <c r="R118" s="15" t="s">
        <v>218</v>
      </c>
      <c r="S118" s="32"/>
      <c r="T118" s="32"/>
      <c r="U118" s="15" t="s">
        <v>32</v>
      </c>
      <c r="V118" s="32"/>
      <c r="W118" s="15">
        <v>16.7684504</v>
      </c>
      <c r="X118" s="15">
        <v>-62.2065493</v>
      </c>
      <c r="Y118" s="32"/>
      <c r="Z118" s="15" t="s">
        <v>26</v>
      </c>
      <c r="AA118" s="15" t="s">
        <v>27</v>
      </c>
      <c r="AB118" s="15" t="s">
        <v>43</v>
      </c>
      <c r="AC118" s="15">
        <v>14.0</v>
      </c>
      <c r="AD118" s="32"/>
      <c r="AE118" s="15" t="s">
        <v>29</v>
      </c>
      <c r="AF118" s="32"/>
      <c r="AG118" s="15" t="s">
        <v>30</v>
      </c>
      <c r="AH118" s="32"/>
      <c r="AI118" s="32"/>
      <c r="AJ118" s="15" t="s">
        <v>240</v>
      </c>
      <c r="AK118" s="32"/>
      <c r="AL118" s="32"/>
      <c r="AM118" s="32"/>
      <c r="AN118" s="15">
        <v>55.0</v>
      </c>
      <c r="AO118" s="32"/>
      <c r="AP118" s="32"/>
      <c r="AQ118" s="32"/>
      <c r="AR118" s="32"/>
      <c r="AS118" s="32"/>
    </row>
    <row r="119">
      <c r="A119" s="1">
        <v>55.0</v>
      </c>
      <c r="B119" s="1" t="s">
        <v>17</v>
      </c>
      <c r="D119" s="1" t="s">
        <v>128</v>
      </c>
      <c r="F119" s="3">
        <v>46063.0</v>
      </c>
      <c r="G119" s="4">
        <v>10.19</v>
      </c>
    </row>
    <row r="120">
      <c r="A120" s="1">
        <v>56.0</v>
      </c>
      <c r="B120" s="1" t="s">
        <v>13</v>
      </c>
      <c r="C120" s="1" t="s">
        <v>102</v>
      </c>
      <c r="D120" s="1" t="s">
        <v>103</v>
      </c>
      <c r="F120" s="3">
        <v>43125.0</v>
      </c>
      <c r="G120" s="1">
        <v>12.4</v>
      </c>
      <c r="P120" s="1"/>
    </row>
    <row r="121">
      <c r="A121" s="1">
        <v>56.0</v>
      </c>
      <c r="B121" s="1" t="s">
        <v>20</v>
      </c>
      <c r="C121" s="1" t="s">
        <v>102</v>
      </c>
      <c r="D121" s="1" t="s">
        <v>103</v>
      </c>
      <c r="F121" s="3">
        <v>45478.0</v>
      </c>
      <c r="G121" s="1">
        <v>15.0</v>
      </c>
      <c r="I121" s="1">
        <v>1.0</v>
      </c>
      <c r="L121" s="9" t="s">
        <v>241</v>
      </c>
      <c r="M121" s="1" t="s">
        <v>104</v>
      </c>
      <c r="N121" s="1" t="s">
        <v>105</v>
      </c>
      <c r="P121" s="9" t="s">
        <v>242</v>
      </c>
      <c r="Q121" s="1" t="s">
        <v>25</v>
      </c>
      <c r="U121" s="1" t="s">
        <v>20</v>
      </c>
      <c r="W121" s="1">
        <v>16.7685606</v>
      </c>
      <c r="X121" s="1">
        <v>-62.206373</v>
      </c>
      <c r="Z121" s="1" t="s">
        <v>26</v>
      </c>
      <c r="AA121" s="1" t="s">
        <v>27</v>
      </c>
      <c r="AB121" s="1" t="s">
        <v>43</v>
      </c>
      <c r="AC121" s="1">
        <v>6.0</v>
      </c>
      <c r="AE121" s="1" t="s">
        <v>29</v>
      </c>
      <c r="AG121" s="1" t="s">
        <v>30</v>
      </c>
      <c r="AJ121" s="1" t="s">
        <v>243</v>
      </c>
    </row>
    <row r="122">
      <c r="A122" s="4">
        <v>56.0</v>
      </c>
      <c r="B122" s="1" t="s">
        <v>55</v>
      </c>
      <c r="C122" s="1" t="s">
        <v>102</v>
      </c>
      <c r="D122" s="1" t="s">
        <v>103</v>
      </c>
      <c r="E122" s="1" t="s">
        <v>73</v>
      </c>
      <c r="F122" s="3">
        <v>45699.0</v>
      </c>
      <c r="G122" s="1">
        <v>15.6</v>
      </c>
      <c r="M122" s="1" t="s">
        <v>104</v>
      </c>
      <c r="N122" s="1" t="s">
        <v>105</v>
      </c>
      <c r="P122" s="9" t="s">
        <v>244</v>
      </c>
      <c r="Q122" s="1" t="s">
        <v>25</v>
      </c>
      <c r="R122" s="1" t="s">
        <v>245</v>
      </c>
      <c r="U122" s="1" t="s">
        <v>55</v>
      </c>
      <c r="V122" s="1" t="s">
        <v>59</v>
      </c>
      <c r="W122" s="1">
        <v>16.76856978</v>
      </c>
      <c r="X122" s="1">
        <v>-62.20635574</v>
      </c>
      <c r="Z122" s="1" t="s">
        <v>26</v>
      </c>
      <c r="AA122" s="1" t="s">
        <v>27</v>
      </c>
      <c r="AB122" s="1" t="s">
        <v>59</v>
      </c>
      <c r="AE122" s="1" t="s">
        <v>29</v>
      </c>
      <c r="AG122" s="1" t="s">
        <v>59</v>
      </c>
      <c r="AJ122" s="1" t="s">
        <v>246</v>
      </c>
      <c r="AN122" s="1">
        <v>56.0</v>
      </c>
    </row>
    <row r="123">
      <c r="A123" s="1">
        <v>56.0</v>
      </c>
      <c r="B123" s="1" t="s">
        <v>17</v>
      </c>
      <c r="D123" s="1" t="s">
        <v>103</v>
      </c>
      <c r="F123" s="3">
        <v>46063.0</v>
      </c>
      <c r="G123" s="4">
        <v>14.96</v>
      </c>
    </row>
    <row r="124">
      <c r="A124" s="1">
        <v>57.0</v>
      </c>
      <c r="B124" s="1" t="s">
        <v>13</v>
      </c>
      <c r="C124" s="1" t="s">
        <v>247</v>
      </c>
      <c r="D124" s="52"/>
      <c r="E124" s="1" t="s">
        <v>38</v>
      </c>
      <c r="F124" s="3">
        <v>43125.0</v>
      </c>
      <c r="G124" s="1">
        <v>35.3</v>
      </c>
      <c r="H124" s="1">
        <v>18.5</v>
      </c>
      <c r="J124" s="1" t="s">
        <v>248</v>
      </c>
      <c r="P124" s="1"/>
    </row>
    <row r="125">
      <c r="A125" s="4">
        <v>57.0</v>
      </c>
      <c r="B125" s="1" t="s">
        <v>32</v>
      </c>
      <c r="C125" s="1" t="s">
        <v>48</v>
      </c>
      <c r="D125" s="52"/>
      <c r="E125" s="1" t="s">
        <v>49</v>
      </c>
      <c r="F125" s="3">
        <v>45699.0</v>
      </c>
      <c r="J125" s="1" t="s">
        <v>50</v>
      </c>
      <c r="K125" s="1" t="s">
        <v>50</v>
      </c>
      <c r="P125" s="9" t="s">
        <v>249</v>
      </c>
      <c r="Q125" s="1" t="s">
        <v>52</v>
      </c>
      <c r="R125" s="1" t="s">
        <v>218</v>
      </c>
      <c r="U125" s="1" t="s">
        <v>32</v>
      </c>
      <c r="W125" s="1">
        <v>16.7684481</v>
      </c>
      <c r="X125" s="1">
        <v>-62.2065512</v>
      </c>
      <c r="Z125" s="1" t="s">
        <v>26</v>
      </c>
      <c r="AA125" s="1" t="s">
        <v>27</v>
      </c>
      <c r="AB125" s="1" t="s">
        <v>43</v>
      </c>
      <c r="AC125" s="1">
        <v>17.0</v>
      </c>
      <c r="AE125" s="1" t="s">
        <v>29</v>
      </c>
      <c r="AG125" s="1" t="s">
        <v>30</v>
      </c>
      <c r="AJ125" s="1" t="s">
        <v>250</v>
      </c>
      <c r="AN125" s="1">
        <v>57.0</v>
      </c>
    </row>
    <row r="126">
      <c r="A126" s="1">
        <v>57.0</v>
      </c>
      <c r="B126" s="1" t="s">
        <v>17</v>
      </c>
      <c r="D126" s="52"/>
      <c r="F126" s="3">
        <v>46063.0</v>
      </c>
      <c r="J126" s="1" t="s">
        <v>50</v>
      </c>
      <c r="K126" s="1" t="s">
        <v>50</v>
      </c>
    </row>
    <row r="127">
      <c r="A127" s="1">
        <v>58.0</v>
      </c>
      <c r="B127" s="1" t="s">
        <v>13</v>
      </c>
      <c r="C127" s="1" t="s">
        <v>127</v>
      </c>
      <c r="D127" s="15" t="s">
        <v>128</v>
      </c>
      <c r="F127" s="3">
        <v>43125.0</v>
      </c>
      <c r="G127" s="1">
        <v>14.6</v>
      </c>
      <c r="H127" s="1">
        <v>8.6</v>
      </c>
      <c r="P127" s="1"/>
    </row>
    <row r="128">
      <c r="A128" s="4">
        <v>58.0</v>
      </c>
      <c r="B128" s="1" t="s">
        <v>32</v>
      </c>
      <c r="C128" s="1" t="s">
        <v>48</v>
      </c>
      <c r="D128" s="1" t="s">
        <v>128</v>
      </c>
      <c r="E128" s="1" t="s">
        <v>49</v>
      </c>
      <c r="F128" s="3">
        <v>45699.0</v>
      </c>
      <c r="G128" s="1">
        <v>14.0</v>
      </c>
      <c r="P128" s="9" t="s">
        <v>251</v>
      </c>
      <c r="Q128" s="1" t="s">
        <v>52</v>
      </c>
      <c r="R128" s="1" t="s">
        <v>228</v>
      </c>
      <c r="U128" s="1" t="s">
        <v>32</v>
      </c>
      <c r="W128" s="1">
        <v>16.7684516</v>
      </c>
      <c r="X128" s="1">
        <v>-62.2065694</v>
      </c>
      <c r="Z128" s="1" t="s">
        <v>26</v>
      </c>
      <c r="AA128" s="1" t="s">
        <v>27</v>
      </c>
      <c r="AB128" s="1" t="s">
        <v>43</v>
      </c>
      <c r="AC128" s="1">
        <v>10.0</v>
      </c>
      <c r="AE128" s="1" t="s">
        <v>29</v>
      </c>
      <c r="AG128" s="1" t="s">
        <v>30</v>
      </c>
      <c r="AJ128" s="1" t="s">
        <v>252</v>
      </c>
      <c r="AN128" s="1">
        <v>58.0</v>
      </c>
    </row>
    <row r="129">
      <c r="A129" s="1">
        <v>58.0</v>
      </c>
      <c r="B129" s="1" t="s">
        <v>17</v>
      </c>
      <c r="D129" s="1" t="s">
        <v>128</v>
      </c>
      <c r="F129" s="3">
        <v>46063.0</v>
      </c>
      <c r="G129" s="4">
        <v>16.23</v>
      </c>
    </row>
    <row r="130">
      <c r="A130" s="6">
        <v>59.0</v>
      </c>
      <c r="B130" s="6" t="s">
        <v>13</v>
      </c>
      <c r="C130" s="6" t="s">
        <v>18</v>
      </c>
      <c r="D130" s="6" t="s">
        <v>19</v>
      </c>
      <c r="E130" s="5"/>
      <c r="F130" s="7">
        <v>43125.0</v>
      </c>
      <c r="G130" s="6">
        <v>7.3</v>
      </c>
      <c r="H130" s="6">
        <v>7.3</v>
      </c>
      <c r="I130" s="6"/>
      <c r="J130" s="5"/>
      <c r="K130" s="5"/>
      <c r="L130" s="6"/>
      <c r="M130" s="6"/>
      <c r="N130" s="6"/>
      <c r="O130" s="5"/>
      <c r="P130" s="6"/>
      <c r="Q130" s="6"/>
      <c r="R130" s="5"/>
      <c r="S130" s="5"/>
      <c r="T130" s="5"/>
      <c r="U130" s="6"/>
      <c r="V130" s="5"/>
      <c r="W130" s="6"/>
      <c r="X130" s="6"/>
      <c r="Y130" s="5"/>
      <c r="Z130" s="6"/>
      <c r="AA130" s="6"/>
      <c r="AB130" s="6"/>
      <c r="AC130" s="6"/>
      <c r="AD130" s="5"/>
      <c r="AE130" s="6"/>
      <c r="AF130" s="5"/>
      <c r="AG130" s="6"/>
      <c r="AH130" s="5"/>
      <c r="AI130" s="5"/>
      <c r="AJ130" s="6"/>
      <c r="AK130" s="5"/>
      <c r="AL130" s="5"/>
      <c r="AM130" s="5"/>
      <c r="AN130" s="5"/>
      <c r="AO130" s="5"/>
      <c r="AP130" s="5"/>
      <c r="AQ130" s="5"/>
      <c r="AR130" s="5"/>
      <c r="AS130" s="5"/>
    </row>
    <row r="131">
      <c r="A131" s="6">
        <v>59.0</v>
      </c>
      <c r="B131" s="6" t="s">
        <v>20</v>
      </c>
      <c r="C131" s="6" t="s">
        <v>18</v>
      </c>
      <c r="D131" s="6" t="s">
        <v>19</v>
      </c>
      <c r="E131" s="5"/>
      <c r="F131" s="7">
        <v>45478.0</v>
      </c>
      <c r="G131" s="6">
        <v>7.1</v>
      </c>
      <c r="H131" s="6">
        <v>8.4</v>
      </c>
      <c r="I131" s="6">
        <v>1.0</v>
      </c>
      <c r="J131" s="5"/>
      <c r="K131" s="5"/>
      <c r="L131" s="8" t="s">
        <v>253</v>
      </c>
      <c r="M131" s="6" t="s">
        <v>22</v>
      </c>
      <c r="N131" s="6" t="s">
        <v>23</v>
      </c>
      <c r="O131" s="5"/>
      <c r="P131" s="8" t="s">
        <v>254</v>
      </c>
      <c r="Q131" s="6" t="s">
        <v>25</v>
      </c>
      <c r="R131" s="5"/>
      <c r="S131" s="5"/>
      <c r="T131" s="5"/>
      <c r="U131" s="6" t="s">
        <v>20</v>
      </c>
      <c r="V131" s="5"/>
      <c r="W131" s="6">
        <v>16.7685741</v>
      </c>
      <c r="X131" s="6">
        <v>-62.2063789</v>
      </c>
      <c r="Y131" s="5"/>
      <c r="Z131" s="6" t="s">
        <v>26</v>
      </c>
      <c r="AA131" s="6" t="s">
        <v>27</v>
      </c>
      <c r="AB131" s="6" t="s">
        <v>43</v>
      </c>
      <c r="AC131" s="6">
        <v>5.0</v>
      </c>
      <c r="AD131" s="5"/>
      <c r="AE131" s="6" t="s">
        <v>29</v>
      </c>
      <c r="AF131" s="5"/>
      <c r="AG131" s="6" t="s">
        <v>30</v>
      </c>
      <c r="AH131" s="5"/>
      <c r="AI131" s="5"/>
      <c r="AJ131" s="6" t="s">
        <v>255</v>
      </c>
      <c r="AK131" s="5"/>
      <c r="AL131" s="5"/>
      <c r="AM131" s="5"/>
      <c r="AN131" s="5"/>
      <c r="AO131" s="5"/>
      <c r="AP131" s="5"/>
      <c r="AQ131" s="5"/>
      <c r="AR131" s="5"/>
      <c r="AS131" s="5"/>
    </row>
    <row r="132">
      <c r="A132" s="5">
        <v>59.0</v>
      </c>
      <c r="B132" s="6" t="s">
        <v>32</v>
      </c>
      <c r="C132" s="6" t="s">
        <v>48</v>
      </c>
      <c r="D132" s="6" t="s">
        <v>19</v>
      </c>
      <c r="E132" s="6" t="s">
        <v>49</v>
      </c>
      <c r="F132" s="7">
        <v>45699.0</v>
      </c>
      <c r="G132" s="6">
        <v>7.0</v>
      </c>
      <c r="H132" s="6">
        <v>7.0</v>
      </c>
      <c r="I132" s="5"/>
      <c r="J132" s="5"/>
      <c r="K132" s="5"/>
      <c r="L132" s="5"/>
      <c r="M132" s="5"/>
      <c r="N132" s="5"/>
      <c r="O132" s="5"/>
      <c r="P132" s="8" t="s">
        <v>256</v>
      </c>
      <c r="Q132" s="6" t="s">
        <v>52</v>
      </c>
      <c r="R132" s="6" t="s">
        <v>257</v>
      </c>
      <c r="S132" s="5"/>
      <c r="T132" s="5"/>
      <c r="U132" s="6" t="s">
        <v>32</v>
      </c>
      <c r="V132" s="5"/>
      <c r="W132" s="6">
        <v>16.7684489</v>
      </c>
      <c r="X132" s="6">
        <v>-62.206555</v>
      </c>
      <c r="Y132" s="5"/>
      <c r="Z132" s="6" t="s">
        <v>26</v>
      </c>
      <c r="AA132" s="6" t="s">
        <v>27</v>
      </c>
      <c r="AB132" s="6" t="s">
        <v>43</v>
      </c>
      <c r="AC132" s="6">
        <v>9.0</v>
      </c>
      <c r="AD132" s="5"/>
      <c r="AE132" s="6" t="s">
        <v>29</v>
      </c>
      <c r="AF132" s="5"/>
      <c r="AG132" s="6" t="s">
        <v>30</v>
      </c>
      <c r="AH132" s="5"/>
      <c r="AI132" s="5"/>
      <c r="AJ132" s="6" t="s">
        <v>258</v>
      </c>
      <c r="AK132" s="5"/>
      <c r="AL132" s="5"/>
      <c r="AM132" s="5"/>
      <c r="AN132" s="6">
        <v>59.0</v>
      </c>
      <c r="AO132" s="5"/>
      <c r="AP132" s="5"/>
      <c r="AQ132" s="5"/>
      <c r="AR132" s="5"/>
      <c r="AS132" s="5"/>
    </row>
    <row r="133">
      <c r="A133" s="1">
        <v>59.0</v>
      </c>
      <c r="B133" s="1" t="s">
        <v>17</v>
      </c>
      <c r="D133" s="1" t="s">
        <v>19</v>
      </c>
      <c r="F133" s="3">
        <v>46063.0</v>
      </c>
      <c r="G133" s="4">
        <v>7.0</v>
      </c>
      <c r="H133" s="4">
        <v>8.59</v>
      </c>
    </row>
    <row r="134">
      <c r="A134" s="53">
        <v>60.0</v>
      </c>
      <c r="B134" s="53" t="s">
        <v>13</v>
      </c>
      <c r="C134" s="53" t="s">
        <v>70</v>
      </c>
      <c r="D134" s="53" t="s">
        <v>259</v>
      </c>
      <c r="E134" s="37"/>
      <c r="F134" s="54">
        <v>43125.0</v>
      </c>
      <c r="G134" s="53">
        <v>9.9</v>
      </c>
      <c r="H134" s="53">
        <v>3.5</v>
      </c>
      <c r="I134" s="37"/>
      <c r="J134" s="53" t="s">
        <v>72</v>
      </c>
      <c r="K134" s="37"/>
      <c r="L134" s="37"/>
      <c r="M134" s="37"/>
      <c r="N134" s="37"/>
      <c r="O134" s="37"/>
      <c r="P134" s="53"/>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row>
    <row r="135">
      <c r="A135" s="53">
        <v>60.0</v>
      </c>
      <c r="B135" s="53" t="s">
        <v>20</v>
      </c>
      <c r="C135" s="53" t="s">
        <v>71</v>
      </c>
      <c r="D135" s="53" t="s">
        <v>259</v>
      </c>
      <c r="E135" s="37"/>
      <c r="F135" s="54">
        <v>45478.0</v>
      </c>
      <c r="G135" s="53">
        <v>12.7</v>
      </c>
      <c r="H135" s="37"/>
      <c r="I135" s="53">
        <v>1.0</v>
      </c>
      <c r="J135" s="37"/>
      <c r="K135" s="37"/>
      <c r="L135" s="55" t="s">
        <v>260</v>
      </c>
      <c r="M135" s="53" t="s">
        <v>74</v>
      </c>
      <c r="N135" s="53" t="s">
        <v>75</v>
      </c>
      <c r="O135" s="37"/>
      <c r="P135" s="55" t="s">
        <v>261</v>
      </c>
      <c r="Q135" s="53" t="s">
        <v>25</v>
      </c>
      <c r="R135" s="37"/>
      <c r="S135" s="37"/>
      <c r="T135" s="37"/>
      <c r="U135" s="53" t="s">
        <v>20</v>
      </c>
      <c r="V135" s="37"/>
      <c r="W135" s="53">
        <v>16.7686068</v>
      </c>
      <c r="X135" s="53">
        <v>-62.2064318</v>
      </c>
      <c r="Y135" s="37"/>
      <c r="Z135" s="53" t="s">
        <v>26</v>
      </c>
      <c r="AA135" s="53" t="s">
        <v>27</v>
      </c>
      <c r="AB135" s="53" t="s">
        <v>43</v>
      </c>
      <c r="AC135" s="53">
        <v>5.0</v>
      </c>
      <c r="AD135" s="37"/>
      <c r="AE135" s="53" t="s">
        <v>29</v>
      </c>
      <c r="AF135" s="37"/>
      <c r="AG135" s="53" t="s">
        <v>30</v>
      </c>
      <c r="AH135" s="37"/>
      <c r="AI135" s="37"/>
      <c r="AJ135" s="53" t="s">
        <v>262</v>
      </c>
      <c r="AK135" s="37"/>
      <c r="AL135" s="37"/>
      <c r="AM135" s="37"/>
      <c r="AN135" s="37"/>
      <c r="AO135" s="37"/>
      <c r="AP135" s="37"/>
      <c r="AQ135" s="37"/>
      <c r="AR135" s="37"/>
      <c r="AS135" s="37"/>
    </row>
    <row r="136">
      <c r="A136" s="37">
        <v>60.0</v>
      </c>
      <c r="B136" s="53" t="s">
        <v>32</v>
      </c>
      <c r="C136" s="53" t="s">
        <v>48</v>
      </c>
      <c r="D136" s="53" t="s">
        <v>259</v>
      </c>
      <c r="E136" s="53" t="s">
        <v>49</v>
      </c>
      <c r="F136" s="54">
        <v>45699.0</v>
      </c>
      <c r="G136" s="53">
        <v>13.2</v>
      </c>
      <c r="H136" s="37"/>
      <c r="I136" s="37"/>
      <c r="J136" s="37"/>
      <c r="K136" s="37"/>
      <c r="L136" s="37"/>
      <c r="M136" s="37"/>
      <c r="N136" s="37"/>
      <c r="O136" s="37"/>
      <c r="P136" s="55" t="s">
        <v>263</v>
      </c>
      <c r="Q136" s="53" t="s">
        <v>52</v>
      </c>
      <c r="R136" s="53" t="s">
        <v>264</v>
      </c>
      <c r="S136" s="37"/>
      <c r="T136" s="37"/>
      <c r="U136" s="53" t="s">
        <v>32</v>
      </c>
      <c r="V136" s="37"/>
      <c r="W136" s="53">
        <v>16.7686303</v>
      </c>
      <c r="X136" s="53">
        <v>-62.2065143</v>
      </c>
      <c r="Y136" s="37"/>
      <c r="Z136" s="53" t="s">
        <v>26</v>
      </c>
      <c r="AA136" s="53" t="s">
        <v>27</v>
      </c>
      <c r="AB136" s="53" t="s">
        <v>43</v>
      </c>
      <c r="AC136" s="53">
        <v>12.0</v>
      </c>
      <c r="AD136" s="37"/>
      <c r="AE136" s="53" t="s">
        <v>29</v>
      </c>
      <c r="AF136" s="37"/>
      <c r="AG136" s="53" t="s">
        <v>30</v>
      </c>
      <c r="AH136" s="37"/>
      <c r="AI136" s="37"/>
      <c r="AJ136" s="53" t="s">
        <v>265</v>
      </c>
      <c r="AK136" s="37"/>
      <c r="AL136" s="37"/>
      <c r="AM136" s="37"/>
      <c r="AN136" s="53">
        <v>60.0</v>
      </c>
      <c r="AO136" s="37"/>
      <c r="AP136" s="37"/>
      <c r="AQ136" s="37"/>
      <c r="AR136" s="37"/>
      <c r="AS136" s="37"/>
    </row>
    <row r="137">
      <c r="A137" s="1">
        <v>60.0</v>
      </c>
      <c r="B137" s="1" t="s">
        <v>17</v>
      </c>
      <c r="D137" s="1" t="s">
        <v>259</v>
      </c>
      <c r="F137" s="3">
        <v>46063.0</v>
      </c>
      <c r="G137" s="4">
        <v>18.3</v>
      </c>
    </row>
    <row r="138">
      <c r="A138" s="56">
        <v>61.0</v>
      </c>
      <c r="B138" s="56" t="s">
        <v>13</v>
      </c>
      <c r="C138" s="56" t="s">
        <v>266</v>
      </c>
      <c r="D138" s="56" t="s">
        <v>267</v>
      </c>
      <c r="E138" s="56" t="s">
        <v>38</v>
      </c>
      <c r="F138" s="57">
        <v>43125.0</v>
      </c>
      <c r="G138" s="56">
        <v>76.4</v>
      </c>
      <c r="H138" s="38"/>
      <c r="I138" s="38"/>
      <c r="J138" s="38"/>
      <c r="K138" s="38"/>
      <c r="L138" s="38"/>
      <c r="M138" s="38"/>
      <c r="N138" s="38"/>
      <c r="O138" s="38"/>
      <c r="P138" s="56"/>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c r="A139" s="56">
        <v>61.0</v>
      </c>
      <c r="B139" s="56" t="s">
        <v>20</v>
      </c>
      <c r="C139" s="56" t="s">
        <v>266</v>
      </c>
      <c r="D139" s="56" t="s">
        <v>268</v>
      </c>
      <c r="E139" s="38"/>
      <c r="F139" s="57">
        <v>45478.0</v>
      </c>
      <c r="G139" s="38"/>
      <c r="H139" s="38"/>
      <c r="I139" s="56">
        <v>1.0</v>
      </c>
      <c r="J139" s="56" t="s">
        <v>50</v>
      </c>
      <c r="K139" s="56" t="s">
        <v>50</v>
      </c>
      <c r="L139" s="58" t="s">
        <v>269</v>
      </c>
      <c r="M139" s="56" t="s">
        <v>270</v>
      </c>
      <c r="N139" s="56" t="s">
        <v>271</v>
      </c>
      <c r="O139" s="38"/>
      <c r="P139" s="58" t="s">
        <v>272</v>
      </c>
      <c r="Q139" s="56" t="s">
        <v>25</v>
      </c>
      <c r="R139" s="38"/>
      <c r="S139" s="38"/>
      <c r="T139" s="38"/>
      <c r="U139" s="56" t="s">
        <v>20</v>
      </c>
      <c r="V139" s="38"/>
      <c r="W139" s="56">
        <v>16.7686731</v>
      </c>
      <c r="X139" s="56">
        <v>-62.2064319</v>
      </c>
      <c r="Y139" s="38"/>
      <c r="Z139" s="56" t="s">
        <v>26</v>
      </c>
      <c r="AA139" s="56" t="s">
        <v>27</v>
      </c>
      <c r="AB139" s="56" t="s">
        <v>43</v>
      </c>
      <c r="AC139" s="56">
        <v>5.0</v>
      </c>
      <c r="AD139" s="38"/>
      <c r="AE139" s="56" t="s">
        <v>29</v>
      </c>
      <c r="AF139" s="38"/>
      <c r="AG139" s="56" t="s">
        <v>30</v>
      </c>
      <c r="AH139" s="38"/>
      <c r="AI139" s="38"/>
      <c r="AJ139" s="56" t="s">
        <v>273</v>
      </c>
      <c r="AK139" s="38"/>
      <c r="AL139" s="38"/>
      <c r="AM139" s="38"/>
      <c r="AN139" s="38"/>
      <c r="AO139" s="38"/>
      <c r="AP139" s="38"/>
      <c r="AQ139" s="38"/>
      <c r="AR139" s="38"/>
      <c r="AS139" s="38"/>
    </row>
    <row r="140">
      <c r="A140" s="38">
        <v>61.0</v>
      </c>
      <c r="B140" s="56" t="s">
        <v>32</v>
      </c>
      <c r="C140" s="56" t="s">
        <v>266</v>
      </c>
      <c r="D140" s="56" t="s">
        <v>267</v>
      </c>
      <c r="E140" s="56" t="s">
        <v>98</v>
      </c>
      <c r="F140" s="57">
        <v>45699.0</v>
      </c>
      <c r="G140" s="38"/>
      <c r="H140" s="38"/>
      <c r="I140" s="38"/>
      <c r="J140" s="56" t="s">
        <v>50</v>
      </c>
      <c r="K140" s="56" t="s">
        <v>50</v>
      </c>
      <c r="L140" s="38"/>
      <c r="M140" s="56" t="s">
        <v>270</v>
      </c>
      <c r="N140" s="56" t="s">
        <v>271</v>
      </c>
      <c r="O140" s="38"/>
      <c r="P140" s="58" t="s">
        <v>274</v>
      </c>
      <c r="Q140" s="56" t="s">
        <v>25</v>
      </c>
      <c r="R140" s="56" t="s">
        <v>275</v>
      </c>
      <c r="S140" s="38"/>
      <c r="T140" s="38"/>
      <c r="U140" s="56" t="s">
        <v>32</v>
      </c>
      <c r="V140" s="38"/>
      <c r="W140" s="56">
        <v>16.768636</v>
      </c>
      <c r="X140" s="56">
        <v>-62.2063806</v>
      </c>
      <c r="Y140" s="38"/>
      <c r="Z140" s="56" t="s">
        <v>26</v>
      </c>
      <c r="AA140" s="56" t="s">
        <v>27</v>
      </c>
      <c r="AB140" s="56" t="s">
        <v>43</v>
      </c>
      <c r="AC140" s="56">
        <v>10.0</v>
      </c>
      <c r="AD140" s="38"/>
      <c r="AE140" s="56" t="s">
        <v>29</v>
      </c>
      <c r="AF140" s="38"/>
      <c r="AG140" s="56" t="s">
        <v>30</v>
      </c>
      <c r="AH140" s="38"/>
      <c r="AI140" s="38"/>
      <c r="AJ140" s="56" t="s">
        <v>276</v>
      </c>
      <c r="AK140" s="38"/>
      <c r="AL140" s="38"/>
      <c r="AM140" s="38"/>
      <c r="AN140" s="56">
        <v>61.0</v>
      </c>
      <c r="AO140" s="38"/>
      <c r="AP140" s="38"/>
      <c r="AQ140" s="38"/>
      <c r="AR140" s="38"/>
      <c r="AS140" s="38"/>
    </row>
    <row r="141">
      <c r="A141" s="1">
        <v>61.0</v>
      </c>
      <c r="B141" s="1" t="s">
        <v>17</v>
      </c>
      <c r="D141" s="56" t="s">
        <v>267</v>
      </c>
      <c r="F141" s="3">
        <v>46063.0</v>
      </c>
      <c r="J141" s="1" t="s">
        <v>50</v>
      </c>
      <c r="K141" s="1" t="s">
        <v>50</v>
      </c>
    </row>
    <row r="142">
      <c r="A142" s="59">
        <v>62.0</v>
      </c>
      <c r="B142" s="59" t="s">
        <v>13</v>
      </c>
      <c r="C142" s="59" t="s">
        <v>102</v>
      </c>
      <c r="D142" s="52" t="s">
        <v>103</v>
      </c>
      <c r="E142" s="39"/>
      <c r="F142" s="60">
        <v>43125.0</v>
      </c>
      <c r="G142" s="59">
        <v>11.8</v>
      </c>
      <c r="H142" s="59">
        <v>10.5</v>
      </c>
      <c r="I142" s="39"/>
      <c r="J142" s="39"/>
      <c r="K142" s="39"/>
      <c r="L142" s="39"/>
      <c r="M142" s="39"/>
      <c r="N142" s="39"/>
      <c r="O142" s="39"/>
      <c r="P142" s="5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row>
    <row r="143">
      <c r="A143" s="59">
        <v>62.0</v>
      </c>
      <c r="B143" s="59" t="s">
        <v>20</v>
      </c>
      <c r="C143" s="59" t="s">
        <v>102</v>
      </c>
      <c r="D143" s="52" t="s">
        <v>103</v>
      </c>
      <c r="E143" s="39"/>
      <c r="F143" s="60">
        <v>45478.0</v>
      </c>
      <c r="G143" s="59">
        <v>12.7</v>
      </c>
      <c r="H143" s="59">
        <v>8.7</v>
      </c>
      <c r="I143" s="59">
        <v>1.0</v>
      </c>
      <c r="J143" s="39"/>
      <c r="K143" s="39"/>
      <c r="L143" s="61" t="s">
        <v>277</v>
      </c>
      <c r="M143" s="59" t="s">
        <v>104</v>
      </c>
      <c r="N143" s="59" t="s">
        <v>105</v>
      </c>
      <c r="O143" s="39"/>
      <c r="P143" s="61" t="s">
        <v>278</v>
      </c>
      <c r="Q143" s="59" t="s">
        <v>25</v>
      </c>
      <c r="R143" s="39"/>
      <c r="S143" s="39"/>
      <c r="T143" s="39"/>
      <c r="U143" s="59" t="s">
        <v>20</v>
      </c>
      <c r="V143" s="39"/>
      <c r="W143" s="59">
        <v>16.7687038</v>
      </c>
      <c r="X143" s="59">
        <v>-62.2064498</v>
      </c>
      <c r="Y143" s="39"/>
      <c r="Z143" s="59" t="s">
        <v>26</v>
      </c>
      <c r="AA143" s="59" t="s">
        <v>27</v>
      </c>
      <c r="AB143" s="59" t="s">
        <v>43</v>
      </c>
      <c r="AC143" s="59">
        <v>5.0</v>
      </c>
      <c r="AD143" s="39"/>
      <c r="AE143" s="59" t="s">
        <v>29</v>
      </c>
      <c r="AF143" s="39"/>
      <c r="AG143" s="59" t="s">
        <v>30</v>
      </c>
      <c r="AH143" s="39"/>
      <c r="AI143" s="39"/>
      <c r="AJ143" s="59" t="s">
        <v>279</v>
      </c>
      <c r="AK143" s="39"/>
      <c r="AL143" s="39"/>
      <c r="AM143" s="39"/>
      <c r="AN143" s="39"/>
      <c r="AO143" s="39"/>
      <c r="AP143" s="39"/>
      <c r="AQ143" s="39"/>
      <c r="AR143" s="39"/>
      <c r="AS143" s="39"/>
    </row>
    <row r="144">
      <c r="A144" s="39">
        <v>62.0</v>
      </c>
      <c r="B144" s="59" t="s">
        <v>32</v>
      </c>
      <c r="C144" s="59" t="s">
        <v>127</v>
      </c>
      <c r="D144" s="52" t="s">
        <v>128</v>
      </c>
      <c r="E144" s="59" t="s">
        <v>201</v>
      </c>
      <c r="F144" s="60">
        <v>45699.0</v>
      </c>
      <c r="G144" s="59">
        <v>12.9</v>
      </c>
      <c r="H144" s="59">
        <v>8.1</v>
      </c>
      <c r="I144" s="39"/>
      <c r="J144" s="39"/>
      <c r="K144" s="39"/>
      <c r="L144" s="39"/>
      <c r="M144" s="59" t="s">
        <v>213</v>
      </c>
      <c r="N144" s="59" t="s">
        <v>214</v>
      </c>
      <c r="O144" s="39"/>
      <c r="P144" s="61" t="s">
        <v>280</v>
      </c>
      <c r="Q144" s="59" t="s">
        <v>25</v>
      </c>
      <c r="R144" s="59" t="s">
        <v>281</v>
      </c>
      <c r="S144" s="39"/>
      <c r="T144" s="39"/>
      <c r="U144" s="59" t="s">
        <v>32</v>
      </c>
      <c r="V144" s="39"/>
      <c r="W144" s="59">
        <v>16.7686975</v>
      </c>
      <c r="X144" s="59">
        <v>-62.2064564</v>
      </c>
      <c r="Y144" s="39"/>
      <c r="Z144" s="59" t="s">
        <v>26</v>
      </c>
      <c r="AA144" s="59" t="s">
        <v>27</v>
      </c>
      <c r="AB144" s="59" t="s">
        <v>43</v>
      </c>
      <c r="AC144" s="59">
        <v>11.0</v>
      </c>
      <c r="AD144" s="39"/>
      <c r="AE144" s="59" t="s">
        <v>29</v>
      </c>
      <c r="AF144" s="39"/>
      <c r="AG144" s="59" t="s">
        <v>30</v>
      </c>
      <c r="AH144" s="39"/>
      <c r="AI144" s="39"/>
      <c r="AJ144" s="59" t="s">
        <v>282</v>
      </c>
      <c r="AK144" s="39"/>
      <c r="AL144" s="39"/>
      <c r="AM144" s="39"/>
      <c r="AN144" s="59">
        <v>62.0</v>
      </c>
      <c r="AO144" s="39"/>
      <c r="AP144" s="39"/>
      <c r="AQ144" s="39"/>
      <c r="AR144" s="39"/>
      <c r="AS144" s="39"/>
    </row>
    <row r="145">
      <c r="A145" s="1">
        <v>62.0</v>
      </c>
      <c r="B145" s="1" t="s">
        <v>17</v>
      </c>
      <c r="D145" s="52"/>
      <c r="F145" s="30">
        <v>46063.0</v>
      </c>
      <c r="G145" s="4">
        <v>12.41</v>
      </c>
      <c r="H145" s="4">
        <v>8.75</v>
      </c>
    </row>
    <row r="146">
      <c r="A146" s="1">
        <v>63.0</v>
      </c>
      <c r="B146" s="1" t="s">
        <v>13</v>
      </c>
      <c r="C146" s="1" t="s">
        <v>18</v>
      </c>
      <c r="D146" s="6" t="s">
        <v>19</v>
      </c>
      <c r="F146" s="30">
        <v>43125.0</v>
      </c>
      <c r="G146" s="1">
        <v>38.2</v>
      </c>
      <c r="J146" s="1" t="s">
        <v>283</v>
      </c>
      <c r="P146" s="1"/>
    </row>
    <row r="147">
      <c r="A147" s="4">
        <v>63.0</v>
      </c>
      <c r="B147" s="1" t="s">
        <v>32</v>
      </c>
      <c r="C147" s="1" t="s">
        <v>18</v>
      </c>
      <c r="D147" s="6" t="s">
        <v>19</v>
      </c>
      <c r="E147" s="1" t="s">
        <v>201</v>
      </c>
      <c r="F147" s="30">
        <v>45699.0</v>
      </c>
      <c r="G147" s="1">
        <v>42.5</v>
      </c>
      <c r="M147" s="1" t="s">
        <v>22</v>
      </c>
      <c r="N147" s="1" t="s">
        <v>23</v>
      </c>
      <c r="P147" s="9" t="s">
        <v>284</v>
      </c>
      <c r="Q147" s="1" t="s">
        <v>25</v>
      </c>
      <c r="R147" s="1" t="s">
        <v>188</v>
      </c>
      <c r="U147" s="1" t="s">
        <v>32</v>
      </c>
      <c r="W147" s="1">
        <v>16.7686284</v>
      </c>
      <c r="X147" s="1">
        <v>-62.2063608</v>
      </c>
      <c r="Z147" s="1" t="s">
        <v>26</v>
      </c>
      <c r="AA147" s="1" t="s">
        <v>27</v>
      </c>
      <c r="AB147" s="1" t="s">
        <v>43</v>
      </c>
      <c r="AC147" s="1">
        <v>9.0</v>
      </c>
      <c r="AE147" s="1" t="s">
        <v>29</v>
      </c>
      <c r="AG147" s="1" t="s">
        <v>30</v>
      </c>
      <c r="AJ147" s="1" t="s">
        <v>285</v>
      </c>
      <c r="AN147" s="1">
        <v>63.0</v>
      </c>
    </row>
    <row r="148">
      <c r="A148" s="1">
        <v>63.0</v>
      </c>
      <c r="B148" s="1" t="s">
        <v>17</v>
      </c>
      <c r="D148" s="6" t="s">
        <v>19</v>
      </c>
      <c r="F148" s="30">
        <v>46063.0</v>
      </c>
      <c r="G148" s="4">
        <v>43.93</v>
      </c>
    </row>
    <row r="149">
      <c r="A149" s="62">
        <v>64.0</v>
      </c>
      <c r="B149" s="62" t="s">
        <v>13</v>
      </c>
      <c r="C149" s="62" t="s">
        <v>78</v>
      </c>
      <c r="D149" s="62" t="s">
        <v>79</v>
      </c>
      <c r="E149" s="62"/>
      <c r="F149" s="63">
        <v>43125.0</v>
      </c>
      <c r="G149" s="62">
        <v>31.8</v>
      </c>
      <c r="H149" s="62"/>
      <c r="I149" s="62"/>
      <c r="J149" s="62" t="s">
        <v>286</v>
      </c>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row>
    <row r="150">
      <c r="A150" s="62">
        <v>64.0</v>
      </c>
      <c r="B150" s="62" t="s">
        <v>32</v>
      </c>
      <c r="C150" s="62" t="s">
        <v>78</v>
      </c>
      <c r="D150" s="62" t="s">
        <v>79</v>
      </c>
      <c r="E150" s="62" t="s">
        <v>201</v>
      </c>
      <c r="F150" s="63">
        <v>45699.0</v>
      </c>
      <c r="G150" s="62">
        <v>32.7</v>
      </c>
      <c r="H150" s="62"/>
      <c r="I150" s="62"/>
      <c r="J150" s="62"/>
      <c r="K150" s="62"/>
      <c r="L150" s="62"/>
      <c r="M150" s="62" t="s">
        <v>81</v>
      </c>
      <c r="N150" s="62" t="s">
        <v>82</v>
      </c>
      <c r="O150" s="62"/>
      <c r="P150" s="64" t="s">
        <v>287</v>
      </c>
      <c r="Q150" s="62" t="s">
        <v>25</v>
      </c>
      <c r="R150" s="62" t="s">
        <v>288</v>
      </c>
      <c r="S150" s="62"/>
      <c r="T150" s="62"/>
      <c r="U150" s="62" t="s">
        <v>32</v>
      </c>
      <c r="V150" s="62"/>
      <c r="W150" s="62">
        <v>16.7685893</v>
      </c>
      <c r="X150" s="62">
        <v>-62.2064086</v>
      </c>
      <c r="Y150" s="62"/>
      <c r="Z150" s="62" t="s">
        <v>26</v>
      </c>
      <c r="AA150" s="62" t="s">
        <v>27</v>
      </c>
      <c r="AB150" s="62" t="s">
        <v>43</v>
      </c>
      <c r="AC150" s="62">
        <v>6.0</v>
      </c>
      <c r="AD150" s="62"/>
      <c r="AE150" s="62" t="s">
        <v>29</v>
      </c>
      <c r="AF150" s="62"/>
      <c r="AG150" s="62" t="s">
        <v>30</v>
      </c>
      <c r="AH150" s="62"/>
      <c r="AI150" s="62"/>
      <c r="AJ150" s="62" t="s">
        <v>289</v>
      </c>
      <c r="AK150" s="62"/>
      <c r="AL150" s="62"/>
      <c r="AM150" s="62"/>
      <c r="AN150" s="62">
        <v>64.0</v>
      </c>
      <c r="AO150" s="62"/>
      <c r="AP150" s="62"/>
      <c r="AQ150" s="62"/>
      <c r="AR150" s="62"/>
      <c r="AS150" s="62"/>
      <c r="AT150" s="62"/>
      <c r="AU150" s="62"/>
      <c r="AV150" s="62"/>
      <c r="AW150" s="62"/>
      <c r="AX150" s="62"/>
      <c r="AY150" s="62"/>
      <c r="AZ150" s="62"/>
      <c r="BA150" s="62"/>
      <c r="BB150" s="62"/>
    </row>
    <row r="151">
      <c r="A151" s="62">
        <v>64.0</v>
      </c>
      <c r="B151" s="62" t="s">
        <v>17</v>
      </c>
      <c r="C151" s="62"/>
      <c r="D151" s="62" t="s">
        <v>79</v>
      </c>
      <c r="E151" s="62"/>
      <c r="F151" s="63">
        <v>46063.0</v>
      </c>
      <c r="G151" s="62">
        <v>37.4</v>
      </c>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row>
    <row r="152">
      <c r="A152" s="1">
        <v>65.0</v>
      </c>
      <c r="B152" s="1" t="s">
        <v>13</v>
      </c>
      <c r="C152" s="1" t="s">
        <v>178</v>
      </c>
      <c r="D152" s="1" t="s">
        <v>179</v>
      </c>
      <c r="F152" s="30">
        <v>43125.0</v>
      </c>
      <c r="G152" s="1">
        <v>11.8</v>
      </c>
      <c r="H152" s="1">
        <v>8.6</v>
      </c>
      <c r="I152" s="1">
        <v>5.1</v>
      </c>
      <c r="P152" s="1"/>
    </row>
    <row r="153">
      <c r="A153" s="1">
        <v>65.0</v>
      </c>
      <c r="B153" s="1" t="s">
        <v>20</v>
      </c>
      <c r="C153" s="1" t="s">
        <v>178</v>
      </c>
      <c r="D153" s="1" t="s">
        <v>179</v>
      </c>
      <c r="F153" s="30">
        <v>45478.0</v>
      </c>
      <c r="G153" s="1">
        <v>14.0</v>
      </c>
      <c r="H153" s="1">
        <v>8.85</v>
      </c>
      <c r="I153" s="1"/>
      <c r="L153" s="9" t="s">
        <v>290</v>
      </c>
      <c r="M153" s="1" t="s">
        <v>182</v>
      </c>
      <c r="N153" s="1" t="s">
        <v>183</v>
      </c>
      <c r="P153" s="9" t="s">
        <v>291</v>
      </c>
      <c r="Q153" s="1" t="s">
        <v>25</v>
      </c>
      <c r="U153" s="1" t="s">
        <v>20</v>
      </c>
      <c r="W153" s="1">
        <v>16.7686564</v>
      </c>
      <c r="X153" s="1">
        <v>-62.2063949</v>
      </c>
      <c r="Z153" s="1" t="s">
        <v>26</v>
      </c>
      <c r="AA153" s="1" t="s">
        <v>27</v>
      </c>
      <c r="AB153" s="1" t="s">
        <v>43</v>
      </c>
      <c r="AC153" s="1">
        <v>5.0</v>
      </c>
      <c r="AE153" s="1" t="s">
        <v>29</v>
      </c>
      <c r="AG153" s="1" t="s">
        <v>30</v>
      </c>
      <c r="AJ153" s="1" t="s">
        <v>292</v>
      </c>
    </row>
    <row r="154">
      <c r="A154" s="4">
        <v>65.0</v>
      </c>
      <c r="B154" s="1" t="s">
        <v>32</v>
      </c>
      <c r="C154" s="1" t="s">
        <v>178</v>
      </c>
      <c r="D154" s="1" t="s">
        <v>179</v>
      </c>
      <c r="E154" s="1" t="s">
        <v>201</v>
      </c>
      <c r="F154" s="30">
        <v>45699.0</v>
      </c>
      <c r="G154" s="1">
        <v>14.2</v>
      </c>
      <c r="H154" s="1">
        <v>8.6</v>
      </c>
      <c r="I154" s="1">
        <v>5.2</v>
      </c>
      <c r="M154" s="1" t="s">
        <v>182</v>
      </c>
      <c r="N154" s="1" t="s">
        <v>183</v>
      </c>
      <c r="P154" s="9" t="s">
        <v>293</v>
      </c>
      <c r="Q154" s="1" t="s">
        <v>25</v>
      </c>
      <c r="R154" s="1" t="s">
        <v>294</v>
      </c>
      <c r="U154" s="1" t="s">
        <v>32</v>
      </c>
      <c r="W154" s="1">
        <v>16.7686433</v>
      </c>
      <c r="X154" s="1">
        <v>-62.20638</v>
      </c>
      <c r="Z154" s="1" t="s">
        <v>26</v>
      </c>
      <c r="AA154" s="1" t="s">
        <v>27</v>
      </c>
      <c r="AB154" s="1" t="s">
        <v>43</v>
      </c>
      <c r="AC154" s="1">
        <v>12.0</v>
      </c>
      <c r="AE154" s="1" t="s">
        <v>29</v>
      </c>
      <c r="AG154" s="1" t="s">
        <v>30</v>
      </c>
      <c r="AJ154" s="1" t="s">
        <v>295</v>
      </c>
      <c r="AN154" s="1">
        <v>65.0</v>
      </c>
    </row>
    <row r="155">
      <c r="A155" s="1">
        <v>65.0</v>
      </c>
      <c r="B155" s="1" t="s">
        <v>17</v>
      </c>
      <c r="D155" s="1" t="s">
        <v>179</v>
      </c>
      <c r="F155" s="30">
        <v>46063.0</v>
      </c>
      <c r="G155" s="4">
        <v>15.6</v>
      </c>
      <c r="H155" s="4">
        <v>9.23</v>
      </c>
    </row>
    <row r="156">
      <c r="A156" s="1">
        <v>66.0</v>
      </c>
      <c r="B156" s="1" t="s">
        <v>13</v>
      </c>
      <c r="C156" s="1" t="s">
        <v>127</v>
      </c>
      <c r="D156" s="15" t="s">
        <v>128</v>
      </c>
      <c r="F156" s="30">
        <v>43125.0</v>
      </c>
      <c r="G156" s="1">
        <v>11.8</v>
      </c>
      <c r="P156" s="1"/>
    </row>
    <row r="157">
      <c r="A157" s="4">
        <v>66.0</v>
      </c>
      <c r="B157" s="1" t="s">
        <v>55</v>
      </c>
      <c r="C157" s="1" t="s">
        <v>127</v>
      </c>
      <c r="D157" s="15" t="s">
        <v>128</v>
      </c>
      <c r="E157" s="1" t="s">
        <v>56</v>
      </c>
      <c r="F157" s="30">
        <v>45699.0</v>
      </c>
      <c r="G157" s="1">
        <v>4.4</v>
      </c>
      <c r="M157" s="1" t="s">
        <v>213</v>
      </c>
      <c r="N157" s="1" t="s">
        <v>214</v>
      </c>
      <c r="P157" s="9" t="s">
        <v>296</v>
      </c>
      <c r="Q157" s="1" t="s">
        <v>25</v>
      </c>
      <c r="R157" s="1" t="s">
        <v>297</v>
      </c>
      <c r="U157" s="1" t="s">
        <v>55</v>
      </c>
      <c r="V157" s="1" t="s">
        <v>59</v>
      </c>
      <c r="W157" s="1">
        <v>16.75909334</v>
      </c>
      <c r="X157" s="1">
        <v>-62.21071064</v>
      </c>
      <c r="Z157" s="1" t="s">
        <v>26</v>
      </c>
      <c r="AA157" s="1" t="s">
        <v>27</v>
      </c>
      <c r="AB157" s="1" t="s">
        <v>59</v>
      </c>
      <c r="AE157" s="1" t="s">
        <v>29</v>
      </c>
      <c r="AG157" s="1" t="s">
        <v>59</v>
      </c>
      <c r="AJ157" s="1" t="s">
        <v>298</v>
      </c>
      <c r="AN157" s="1">
        <v>66.0</v>
      </c>
    </row>
    <row r="158">
      <c r="A158" s="1">
        <v>66.0</v>
      </c>
      <c r="B158" s="1" t="s">
        <v>17</v>
      </c>
      <c r="D158" s="15" t="s">
        <v>128</v>
      </c>
      <c r="F158" s="30">
        <v>46063.0</v>
      </c>
      <c r="J158" s="1" t="s">
        <v>132</v>
      </c>
    </row>
    <row r="159">
      <c r="A159" s="62">
        <v>67.0</v>
      </c>
      <c r="B159" s="62" t="s">
        <v>13</v>
      </c>
      <c r="C159" s="62" t="s">
        <v>102</v>
      </c>
      <c r="D159" s="1" t="s">
        <v>103</v>
      </c>
      <c r="E159" s="49"/>
      <c r="F159" s="63">
        <v>43125.0</v>
      </c>
      <c r="G159" s="62">
        <v>11.5</v>
      </c>
      <c r="H159" s="49"/>
      <c r="I159" s="49"/>
      <c r="J159" s="49"/>
      <c r="K159" s="49"/>
      <c r="L159" s="49"/>
      <c r="M159" s="49"/>
      <c r="N159" s="49"/>
      <c r="O159" s="49"/>
      <c r="P159" s="62"/>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row>
    <row r="160">
      <c r="A160" s="49">
        <v>67.0</v>
      </c>
      <c r="B160" s="62" t="s">
        <v>32</v>
      </c>
      <c r="C160" s="62" t="s">
        <v>48</v>
      </c>
      <c r="D160" s="1" t="s">
        <v>103</v>
      </c>
      <c r="E160" s="62" t="s">
        <v>149</v>
      </c>
      <c r="F160" s="63">
        <v>45699.0</v>
      </c>
      <c r="G160" s="62">
        <v>19.1</v>
      </c>
      <c r="H160" s="49"/>
      <c r="I160" s="49"/>
      <c r="J160" s="49"/>
      <c r="K160" s="49"/>
      <c r="L160" s="49"/>
      <c r="M160" s="49"/>
      <c r="N160" s="49"/>
      <c r="O160" s="49"/>
      <c r="P160" s="64" t="s">
        <v>299</v>
      </c>
      <c r="Q160" s="62" t="s">
        <v>52</v>
      </c>
      <c r="R160" s="62" t="s">
        <v>300</v>
      </c>
      <c r="S160" s="49"/>
      <c r="T160" s="49"/>
      <c r="U160" s="62" t="s">
        <v>32</v>
      </c>
      <c r="V160" s="49"/>
      <c r="W160" s="62">
        <v>16.7684371</v>
      </c>
      <c r="X160" s="62">
        <v>-62.206548</v>
      </c>
      <c r="Y160" s="49"/>
      <c r="Z160" s="62" t="s">
        <v>26</v>
      </c>
      <c r="AA160" s="62" t="s">
        <v>27</v>
      </c>
      <c r="AB160" s="62" t="s">
        <v>43</v>
      </c>
      <c r="AC160" s="62">
        <v>10.0</v>
      </c>
      <c r="AD160" s="49"/>
      <c r="AE160" s="62" t="s">
        <v>29</v>
      </c>
      <c r="AF160" s="49"/>
      <c r="AG160" s="62" t="s">
        <v>30</v>
      </c>
      <c r="AH160" s="49"/>
      <c r="AI160" s="49"/>
      <c r="AJ160" s="62" t="s">
        <v>301</v>
      </c>
      <c r="AK160" s="49"/>
      <c r="AL160" s="49"/>
      <c r="AM160" s="49"/>
      <c r="AN160" s="62">
        <v>67.0</v>
      </c>
      <c r="AO160" s="49"/>
      <c r="AP160" s="49"/>
      <c r="AQ160" s="49"/>
      <c r="AR160" s="49"/>
      <c r="AS160" s="49"/>
    </row>
    <row r="161">
      <c r="A161" s="62">
        <v>67.0</v>
      </c>
      <c r="B161" s="62" t="s">
        <v>17</v>
      </c>
      <c r="C161" s="62"/>
      <c r="D161" s="62" t="s">
        <v>103</v>
      </c>
      <c r="E161" s="62"/>
      <c r="F161" s="63">
        <v>46063.0</v>
      </c>
      <c r="G161" s="62">
        <v>15.92</v>
      </c>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row>
    <row r="162">
      <c r="A162" s="1">
        <v>68.0</v>
      </c>
      <c r="B162" s="1" t="s">
        <v>13</v>
      </c>
      <c r="C162" s="1" t="s">
        <v>78</v>
      </c>
      <c r="D162" s="1" t="s">
        <v>79</v>
      </c>
      <c r="F162" s="30">
        <v>43125.0</v>
      </c>
      <c r="G162" s="1">
        <v>18.5</v>
      </c>
      <c r="P162" s="1"/>
    </row>
    <row r="163">
      <c r="A163" s="4">
        <v>68.0</v>
      </c>
      <c r="B163" s="1" t="s">
        <v>55</v>
      </c>
      <c r="C163" s="1" t="s">
        <v>78</v>
      </c>
      <c r="D163" s="1" t="s">
        <v>79</v>
      </c>
      <c r="E163" s="1" t="s">
        <v>302</v>
      </c>
      <c r="F163" s="30">
        <v>45699.0</v>
      </c>
      <c r="G163" s="1">
        <v>25.2</v>
      </c>
      <c r="M163" s="1" t="s">
        <v>81</v>
      </c>
      <c r="N163" s="1" t="s">
        <v>82</v>
      </c>
      <c r="P163" s="9" t="s">
        <v>303</v>
      </c>
      <c r="Q163" s="1" t="s">
        <v>25</v>
      </c>
      <c r="R163" s="1" t="s">
        <v>304</v>
      </c>
      <c r="U163" s="1" t="s">
        <v>55</v>
      </c>
      <c r="V163" s="1" t="s">
        <v>59</v>
      </c>
      <c r="W163" s="1">
        <v>16.76865062</v>
      </c>
      <c r="X163" s="1">
        <v>-62.20636454</v>
      </c>
      <c r="Z163" s="1" t="s">
        <v>26</v>
      </c>
      <c r="AA163" s="1" t="s">
        <v>27</v>
      </c>
      <c r="AB163" s="1" t="s">
        <v>59</v>
      </c>
      <c r="AE163" s="1" t="s">
        <v>29</v>
      </c>
      <c r="AG163" s="1" t="s">
        <v>59</v>
      </c>
      <c r="AJ163" s="1" t="s">
        <v>305</v>
      </c>
      <c r="AN163" s="1">
        <v>68.0</v>
      </c>
    </row>
    <row r="164">
      <c r="A164" s="62">
        <v>87.0</v>
      </c>
      <c r="B164" s="62" t="s">
        <v>32</v>
      </c>
      <c r="C164" s="62" t="s">
        <v>48</v>
      </c>
      <c r="D164" s="62"/>
      <c r="E164" s="62" t="s">
        <v>49</v>
      </c>
      <c r="F164" s="63">
        <v>45699.0</v>
      </c>
      <c r="G164" s="62">
        <v>11.5</v>
      </c>
      <c r="H164" s="62"/>
      <c r="I164" s="62"/>
      <c r="J164" s="62"/>
      <c r="K164" s="62"/>
      <c r="L164" s="62"/>
      <c r="M164" s="62"/>
      <c r="N164" s="62"/>
      <c r="O164" s="62"/>
      <c r="P164" s="64" t="s">
        <v>306</v>
      </c>
      <c r="Q164" s="62" t="s">
        <v>52</v>
      </c>
      <c r="R164" s="62" t="s">
        <v>307</v>
      </c>
      <c r="S164" s="62"/>
      <c r="T164" s="62"/>
      <c r="U164" s="62" t="s">
        <v>32</v>
      </c>
      <c r="V164" s="62"/>
      <c r="W164" s="62">
        <v>16.7685288</v>
      </c>
      <c r="X164" s="62">
        <v>-62.2066911</v>
      </c>
      <c r="Y164" s="62"/>
      <c r="Z164" s="62" t="s">
        <v>26</v>
      </c>
      <c r="AA164" s="62" t="s">
        <v>27</v>
      </c>
      <c r="AB164" s="62" t="s">
        <v>43</v>
      </c>
      <c r="AC164" s="62">
        <v>10.0</v>
      </c>
      <c r="AD164" s="62"/>
      <c r="AE164" s="62" t="s">
        <v>29</v>
      </c>
      <c r="AF164" s="62"/>
      <c r="AG164" s="62" t="s">
        <v>30</v>
      </c>
      <c r="AH164" s="62"/>
      <c r="AI164" s="62"/>
      <c r="AJ164" s="62" t="s">
        <v>308</v>
      </c>
      <c r="AK164" s="62"/>
      <c r="AL164" s="62"/>
      <c r="AM164" s="62"/>
      <c r="AN164" s="62">
        <v>87.0</v>
      </c>
      <c r="AO164" s="62"/>
      <c r="AP164" s="62"/>
      <c r="AQ164" s="62"/>
      <c r="AR164" s="62"/>
      <c r="AS164" s="62"/>
      <c r="AT164" s="62"/>
      <c r="AU164" s="62"/>
      <c r="AV164" s="62"/>
      <c r="AW164" s="62"/>
      <c r="AX164" s="62"/>
      <c r="AY164" s="62"/>
      <c r="AZ164" s="62"/>
      <c r="BA164" s="62"/>
      <c r="BB164" s="62"/>
    </row>
    <row r="165">
      <c r="A165" s="62">
        <v>87.0</v>
      </c>
      <c r="B165" s="62" t="s">
        <v>17</v>
      </c>
      <c r="C165" s="62"/>
      <c r="D165" s="62"/>
      <c r="E165" s="62"/>
      <c r="F165" s="63">
        <v>46063.0</v>
      </c>
      <c r="G165" s="62">
        <v>11.14</v>
      </c>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row>
    <row r="166">
      <c r="A166" s="4">
        <v>90.0</v>
      </c>
      <c r="B166" s="1" t="s">
        <v>32</v>
      </c>
      <c r="C166" s="1" t="s">
        <v>309</v>
      </c>
      <c r="D166" s="10" t="s">
        <v>116</v>
      </c>
      <c r="E166" s="1" t="s">
        <v>49</v>
      </c>
      <c r="F166" s="30">
        <v>45699.0</v>
      </c>
      <c r="G166" s="1">
        <v>10.0</v>
      </c>
      <c r="P166" s="9" t="s">
        <v>310</v>
      </c>
      <c r="Q166" s="1" t="s">
        <v>52</v>
      </c>
      <c r="R166" s="1" t="s">
        <v>311</v>
      </c>
      <c r="U166" s="1" t="s">
        <v>32</v>
      </c>
      <c r="W166" s="1">
        <v>16.7685321</v>
      </c>
      <c r="X166" s="1">
        <v>-62.2066762</v>
      </c>
      <c r="Z166" s="1" t="s">
        <v>26</v>
      </c>
      <c r="AA166" s="1" t="s">
        <v>27</v>
      </c>
      <c r="AB166" s="1" t="s">
        <v>43</v>
      </c>
      <c r="AC166" s="1">
        <v>9.0</v>
      </c>
      <c r="AE166" s="1" t="s">
        <v>29</v>
      </c>
      <c r="AG166" s="1" t="s">
        <v>30</v>
      </c>
      <c r="AJ166" s="1" t="s">
        <v>312</v>
      </c>
      <c r="AN166" s="1">
        <v>90.0</v>
      </c>
    </row>
    <row r="167">
      <c r="A167" s="1">
        <v>90.0</v>
      </c>
      <c r="B167" s="1" t="s">
        <v>17</v>
      </c>
      <c r="C167" s="1" t="s">
        <v>309</v>
      </c>
      <c r="D167" s="10" t="s">
        <v>116</v>
      </c>
      <c r="F167" s="30">
        <v>46063.0</v>
      </c>
      <c r="G167" s="4">
        <v>10.19</v>
      </c>
    </row>
    <row r="168">
      <c r="A168" s="4">
        <v>91.0</v>
      </c>
      <c r="B168" s="1" t="s">
        <v>32</v>
      </c>
      <c r="C168" s="1" t="s">
        <v>48</v>
      </c>
      <c r="D168" s="52"/>
      <c r="E168" s="1" t="s">
        <v>313</v>
      </c>
      <c r="F168" s="30">
        <v>45699.0</v>
      </c>
      <c r="G168" s="1">
        <v>11.5</v>
      </c>
      <c r="P168" s="9" t="s">
        <v>314</v>
      </c>
      <c r="Q168" s="1" t="s">
        <v>52</v>
      </c>
      <c r="R168" s="1" t="s">
        <v>315</v>
      </c>
      <c r="U168" s="1" t="s">
        <v>32</v>
      </c>
      <c r="W168" s="1">
        <v>16.768643</v>
      </c>
      <c r="X168" s="1">
        <v>-62.20652</v>
      </c>
      <c r="Z168" s="1" t="s">
        <v>26</v>
      </c>
      <c r="AA168" s="1" t="s">
        <v>27</v>
      </c>
      <c r="AB168" s="1" t="s">
        <v>43</v>
      </c>
      <c r="AC168" s="1">
        <v>12.0</v>
      </c>
      <c r="AE168" s="1" t="s">
        <v>29</v>
      </c>
      <c r="AG168" s="1" t="s">
        <v>30</v>
      </c>
      <c r="AJ168" s="1" t="s">
        <v>316</v>
      </c>
      <c r="AN168" s="1">
        <v>91.0</v>
      </c>
    </row>
    <row r="169">
      <c r="A169" s="4">
        <v>101.0</v>
      </c>
      <c r="B169" s="1" t="s">
        <v>32</v>
      </c>
      <c r="C169" s="1" t="s">
        <v>317</v>
      </c>
      <c r="D169" s="1" t="s">
        <v>318</v>
      </c>
      <c r="E169" s="1" t="s">
        <v>49</v>
      </c>
      <c r="F169" s="30">
        <v>45699.0</v>
      </c>
      <c r="G169" s="1">
        <v>11.0</v>
      </c>
      <c r="J169" s="1" t="s">
        <v>319</v>
      </c>
      <c r="P169" s="9" t="s">
        <v>320</v>
      </c>
      <c r="Q169" s="1" t="s">
        <v>52</v>
      </c>
      <c r="R169" s="1" t="s">
        <v>321</v>
      </c>
      <c r="U169" s="1" t="s">
        <v>32</v>
      </c>
      <c r="W169" s="1">
        <v>16.76864</v>
      </c>
      <c r="X169" s="1">
        <v>-62.206515</v>
      </c>
      <c r="Z169" s="1" t="s">
        <v>26</v>
      </c>
      <c r="AA169" s="1" t="s">
        <v>27</v>
      </c>
      <c r="AB169" s="1" t="s">
        <v>43</v>
      </c>
      <c r="AC169" s="1">
        <v>14.0</v>
      </c>
      <c r="AE169" s="1" t="s">
        <v>29</v>
      </c>
      <c r="AG169" s="1" t="s">
        <v>30</v>
      </c>
      <c r="AJ169" s="1" t="s">
        <v>322</v>
      </c>
      <c r="AN169" s="1">
        <v>101.0</v>
      </c>
    </row>
    <row r="170">
      <c r="A170" s="4">
        <v>102.0</v>
      </c>
      <c r="B170" s="1" t="s">
        <v>32</v>
      </c>
      <c r="C170" s="1" t="s">
        <v>102</v>
      </c>
      <c r="D170" s="1" t="s">
        <v>103</v>
      </c>
      <c r="E170" s="1" t="s">
        <v>149</v>
      </c>
      <c r="F170" s="30">
        <v>45699.0</v>
      </c>
      <c r="G170" s="1">
        <v>11.2</v>
      </c>
      <c r="P170" s="9" t="s">
        <v>323</v>
      </c>
      <c r="Q170" s="1" t="s">
        <v>52</v>
      </c>
      <c r="R170" s="1" t="s">
        <v>315</v>
      </c>
      <c r="U170" s="1" t="s">
        <v>32</v>
      </c>
      <c r="W170" s="1">
        <v>16.768634</v>
      </c>
      <c r="X170" s="1">
        <v>-62.2065125</v>
      </c>
      <c r="Z170" s="1" t="s">
        <v>26</v>
      </c>
      <c r="AA170" s="1" t="s">
        <v>27</v>
      </c>
      <c r="AB170" s="1" t="s">
        <v>43</v>
      </c>
      <c r="AC170" s="1">
        <v>10.0</v>
      </c>
      <c r="AE170" s="1" t="s">
        <v>29</v>
      </c>
      <c r="AG170" s="1" t="s">
        <v>30</v>
      </c>
      <c r="AJ170" s="1" t="s">
        <v>324</v>
      </c>
      <c r="AN170" s="1">
        <v>102.0</v>
      </c>
    </row>
    <row r="171">
      <c r="A171" s="1">
        <v>102.0</v>
      </c>
      <c r="B171" s="1" t="s">
        <v>17</v>
      </c>
      <c r="D171" s="1" t="s">
        <v>103</v>
      </c>
      <c r="F171" s="30">
        <v>46063.0</v>
      </c>
      <c r="G171" s="4">
        <v>12.1</v>
      </c>
    </row>
    <row r="172">
      <c r="A172" s="4">
        <v>103.0</v>
      </c>
      <c r="B172" s="1" t="s">
        <v>32</v>
      </c>
      <c r="C172" s="1" t="s">
        <v>102</v>
      </c>
      <c r="D172" s="1" t="s">
        <v>103</v>
      </c>
      <c r="E172" s="1" t="s">
        <v>325</v>
      </c>
      <c r="F172" s="30">
        <v>45699.0</v>
      </c>
      <c r="G172" s="1">
        <v>10.6</v>
      </c>
      <c r="J172" s="1" t="s">
        <v>326</v>
      </c>
      <c r="P172" s="9" t="s">
        <v>327</v>
      </c>
      <c r="Q172" s="1" t="s">
        <v>52</v>
      </c>
      <c r="R172" s="1" t="s">
        <v>315</v>
      </c>
      <c r="U172" s="1" t="s">
        <v>32</v>
      </c>
      <c r="W172" s="1">
        <v>16.7686445</v>
      </c>
      <c r="X172" s="1">
        <v>-62.2065208</v>
      </c>
      <c r="Z172" s="1" t="s">
        <v>26</v>
      </c>
      <c r="AA172" s="1" t="s">
        <v>27</v>
      </c>
      <c r="AB172" s="1" t="s">
        <v>43</v>
      </c>
      <c r="AC172" s="1">
        <v>13.0</v>
      </c>
      <c r="AE172" s="1" t="s">
        <v>29</v>
      </c>
      <c r="AG172" s="1" t="s">
        <v>30</v>
      </c>
      <c r="AJ172" s="1" t="s">
        <v>328</v>
      </c>
      <c r="AN172" s="1">
        <v>103.0</v>
      </c>
    </row>
    <row r="173">
      <c r="A173" s="1">
        <v>103.0</v>
      </c>
      <c r="B173" s="1" t="s">
        <v>17</v>
      </c>
      <c r="D173" s="1" t="s">
        <v>103</v>
      </c>
      <c r="F173" s="30">
        <v>46063.0</v>
      </c>
      <c r="G173" s="4">
        <v>10.5</v>
      </c>
    </row>
    <row r="174">
      <c r="A174" s="38">
        <v>104.0</v>
      </c>
      <c r="B174" s="56" t="s">
        <v>32</v>
      </c>
      <c r="C174" s="56" t="s">
        <v>48</v>
      </c>
      <c r="D174" s="38"/>
      <c r="E174" s="56" t="s">
        <v>49</v>
      </c>
      <c r="F174" s="57">
        <v>45699.0</v>
      </c>
      <c r="G174" s="56">
        <v>10.3</v>
      </c>
      <c r="H174" s="38"/>
      <c r="I174" s="38"/>
      <c r="J174" s="56" t="s">
        <v>326</v>
      </c>
      <c r="K174" s="38"/>
      <c r="L174" s="38"/>
      <c r="M174" s="38"/>
      <c r="N174" s="38"/>
      <c r="O174" s="38"/>
      <c r="P174" s="58" t="s">
        <v>329</v>
      </c>
      <c r="Q174" s="56" t="s">
        <v>52</v>
      </c>
      <c r="R174" s="56" t="s">
        <v>330</v>
      </c>
      <c r="S174" s="38"/>
      <c r="T174" s="38"/>
      <c r="U174" s="56" t="s">
        <v>32</v>
      </c>
      <c r="V174" s="38"/>
      <c r="W174" s="56">
        <v>16.7686441</v>
      </c>
      <c r="X174" s="56">
        <v>-62.2065201</v>
      </c>
      <c r="Y174" s="38"/>
      <c r="Z174" s="56" t="s">
        <v>26</v>
      </c>
      <c r="AA174" s="56" t="s">
        <v>27</v>
      </c>
      <c r="AB174" s="56" t="s">
        <v>43</v>
      </c>
      <c r="AC174" s="56">
        <v>13.0</v>
      </c>
      <c r="AD174" s="38"/>
      <c r="AE174" s="56" t="s">
        <v>29</v>
      </c>
      <c r="AF174" s="38"/>
      <c r="AG174" s="56" t="s">
        <v>30</v>
      </c>
      <c r="AH174" s="38"/>
      <c r="AI174" s="38"/>
      <c r="AJ174" s="56" t="s">
        <v>331</v>
      </c>
      <c r="AK174" s="38"/>
      <c r="AL174" s="38"/>
      <c r="AM174" s="38"/>
      <c r="AN174" s="56">
        <v>104.0</v>
      </c>
      <c r="AO174" s="38"/>
      <c r="AP174" s="38"/>
      <c r="AQ174" s="38"/>
      <c r="AR174" s="38"/>
      <c r="AS174" s="38"/>
      <c r="AT174" s="38"/>
      <c r="AU174" s="38"/>
      <c r="AV174" s="38"/>
      <c r="AW174" s="38"/>
      <c r="AX174" s="38"/>
      <c r="AY174" s="38"/>
      <c r="AZ174" s="38"/>
      <c r="BA174" s="38"/>
      <c r="BB174" s="38"/>
    </row>
    <row r="175">
      <c r="A175" s="56">
        <v>104.0</v>
      </c>
      <c r="B175" s="56" t="s">
        <v>17</v>
      </c>
      <c r="C175" s="38"/>
      <c r="D175" s="38"/>
      <c r="E175" s="38"/>
      <c r="F175" s="57">
        <v>46063.0</v>
      </c>
      <c r="G175" s="38">
        <v>9.39</v>
      </c>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sheetData>
  <autoFilter ref="$A$1:$AS$960"/>
  <hyperlinks>
    <hyperlink r:id="rId1" ref="L5"/>
    <hyperlink r:id="rId2" ref="P5"/>
    <hyperlink r:id="rId3" ref="P6"/>
    <hyperlink r:id="rId4" ref="P9"/>
    <hyperlink r:id="rId5" ref="P12"/>
    <hyperlink r:id="rId6" ref="P15"/>
    <hyperlink r:id="rId7" ref="P18"/>
    <hyperlink r:id="rId8" ref="P21"/>
    <hyperlink r:id="rId9" ref="P24"/>
    <hyperlink r:id="rId10" ref="P29"/>
    <hyperlink r:id="rId11" ref="P32"/>
    <hyperlink r:id="rId12" ref="P35"/>
    <hyperlink r:id="rId13" ref="P38"/>
    <hyperlink r:id="rId14" ref="P41"/>
    <hyperlink r:id="rId15" ref="P44"/>
    <hyperlink r:id="rId16" ref="P47"/>
    <hyperlink r:id="rId17" ref="P50"/>
    <hyperlink r:id="rId18" ref="P53"/>
    <hyperlink r:id="rId19" ref="P56"/>
    <hyperlink r:id="rId20" ref="L59"/>
    <hyperlink r:id="rId21" ref="P59"/>
    <hyperlink r:id="rId22" ref="P60"/>
    <hyperlink r:id="rId23" ref="L63"/>
    <hyperlink r:id="rId24" ref="P63"/>
    <hyperlink r:id="rId25" ref="P64"/>
    <hyperlink r:id="rId26" ref="L67"/>
    <hyperlink r:id="rId27" ref="P67"/>
    <hyperlink r:id="rId28" ref="P68"/>
    <hyperlink r:id="rId29" ref="L71"/>
    <hyperlink r:id="rId30" ref="P71"/>
    <hyperlink r:id="rId31" ref="P72"/>
    <hyperlink r:id="rId32" ref="L75"/>
    <hyperlink r:id="rId33" ref="P75"/>
    <hyperlink r:id="rId34" ref="P76"/>
    <hyperlink r:id="rId35" ref="P79"/>
    <hyperlink r:id="rId36" ref="P82"/>
    <hyperlink r:id="rId37" ref="P85"/>
    <hyperlink r:id="rId38" ref="P88"/>
    <hyperlink r:id="rId39" ref="P89"/>
    <hyperlink r:id="rId40" ref="L92"/>
    <hyperlink r:id="rId41" ref="P92"/>
    <hyperlink r:id="rId42" ref="P93"/>
    <hyperlink r:id="rId43" ref="P96"/>
    <hyperlink r:id="rId44" ref="P99"/>
    <hyperlink r:id="rId45" ref="P102"/>
    <hyperlink r:id="rId46" ref="L105"/>
    <hyperlink r:id="rId47" ref="P105"/>
    <hyperlink r:id="rId48" ref="P106"/>
    <hyperlink r:id="rId49" ref="L109"/>
    <hyperlink r:id="rId50" ref="P109"/>
    <hyperlink r:id="rId51" ref="P110"/>
    <hyperlink r:id="rId52" ref="L113"/>
    <hyperlink r:id="rId53" ref="P113"/>
    <hyperlink r:id="rId54" ref="P114"/>
    <hyperlink r:id="rId55" ref="K117"/>
    <hyperlink r:id="rId56" ref="L117"/>
    <hyperlink r:id="rId57" ref="P117"/>
    <hyperlink r:id="rId58" ref="P118"/>
    <hyperlink r:id="rId59" ref="L121"/>
    <hyperlink r:id="rId60" ref="P121"/>
    <hyperlink r:id="rId61" ref="P122"/>
    <hyperlink r:id="rId62" ref="P125"/>
    <hyperlink r:id="rId63" ref="P128"/>
    <hyperlink r:id="rId64" ref="L131"/>
    <hyperlink r:id="rId65" ref="P131"/>
    <hyperlink r:id="rId66" ref="P132"/>
    <hyperlink r:id="rId67" ref="L135"/>
    <hyperlink r:id="rId68" ref="P135"/>
    <hyperlink r:id="rId69" ref="P136"/>
    <hyperlink r:id="rId70" ref="L139"/>
    <hyperlink r:id="rId71" ref="P139"/>
    <hyperlink r:id="rId72" ref="P140"/>
    <hyperlink r:id="rId73" ref="L143"/>
    <hyperlink r:id="rId74" ref="P143"/>
    <hyperlink r:id="rId75" ref="P144"/>
    <hyperlink r:id="rId76" ref="P147"/>
    <hyperlink r:id="rId77" ref="P150"/>
    <hyperlink r:id="rId78" ref="L153"/>
    <hyperlink r:id="rId79" ref="P153"/>
    <hyperlink r:id="rId80" ref="P154"/>
    <hyperlink r:id="rId81" ref="P157"/>
    <hyperlink r:id="rId82" ref="P160"/>
    <hyperlink r:id="rId83" ref="P163"/>
    <hyperlink r:id="rId84" ref="P164"/>
    <hyperlink r:id="rId85" ref="P166"/>
    <hyperlink r:id="rId86" ref="P168"/>
    <hyperlink r:id="rId87" ref="P169"/>
    <hyperlink r:id="rId88" ref="P170"/>
    <hyperlink r:id="rId89" ref="P172"/>
    <hyperlink r:id="rId90" ref="P174"/>
  </hyperlinks>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9.25"/>
    <col customWidth="1" min="3" max="3" width="98.63"/>
    <col customWidth="1" min="4" max="4" width="13.25"/>
    <col customWidth="1" min="9" max="9" width="13.75"/>
    <col customWidth="1" min="10" max="10" width="116.75"/>
  </cols>
  <sheetData>
    <row r="1">
      <c r="A1" s="1" t="s">
        <v>0</v>
      </c>
      <c r="B1" s="1" t="s">
        <v>3</v>
      </c>
      <c r="C1" s="1" t="s">
        <v>1</v>
      </c>
      <c r="D1" s="1" t="s">
        <v>4</v>
      </c>
      <c r="E1" s="1" t="s">
        <v>5</v>
      </c>
      <c r="F1" s="1" t="s">
        <v>6</v>
      </c>
      <c r="G1" s="1" t="s">
        <v>7</v>
      </c>
      <c r="H1" s="1" t="s">
        <v>8</v>
      </c>
      <c r="I1" s="1" t="s">
        <v>10</v>
      </c>
      <c r="J1" s="1" t="s">
        <v>9</v>
      </c>
    </row>
    <row r="2">
      <c r="A2" s="1">
        <v>1.0</v>
      </c>
      <c r="B2" s="1" t="s">
        <v>190</v>
      </c>
      <c r="C2" s="1" t="s">
        <v>13</v>
      </c>
      <c r="D2" s="1" t="s">
        <v>38</v>
      </c>
      <c r="E2" s="3">
        <v>43124.0</v>
      </c>
      <c r="F2" s="1">
        <v>18.8</v>
      </c>
      <c r="I2" s="1"/>
      <c r="J2" s="1" t="s">
        <v>332</v>
      </c>
    </row>
    <row r="3">
      <c r="A3" s="1">
        <v>1.0</v>
      </c>
      <c r="B3" s="1" t="s">
        <v>190</v>
      </c>
      <c r="C3" s="1" t="s">
        <v>13</v>
      </c>
      <c r="E3" s="3">
        <v>43311.0</v>
      </c>
      <c r="F3" s="1">
        <v>55.7</v>
      </c>
      <c r="J3" s="1" t="s">
        <v>332</v>
      </c>
    </row>
    <row r="4">
      <c r="A4" s="1">
        <v>1.0</v>
      </c>
      <c r="B4" s="1" t="s">
        <v>190</v>
      </c>
      <c r="C4" s="1" t="s">
        <v>13</v>
      </c>
      <c r="E4" s="3">
        <v>43501.0</v>
      </c>
      <c r="F4" s="1">
        <v>58.3</v>
      </c>
      <c r="J4" s="1" t="s">
        <v>332</v>
      </c>
    </row>
    <row r="5">
      <c r="A5" s="1">
        <v>1.0</v>
      </c>
      <c r="B5" s="1" t="s">
        <v>190</v>
      </c>
      <c r="C5" s="1" t="s">
        <v>333</v>
      </c>
      <c r="E5" s="3">
        <v>46071.0</v>
      </c>
      <c r="F5" s="4">
        <v>67.16</v>
      </c>
    </row>
    <row r="6">
      <c r="A6" s="1">
        <v>2.0</v>
      </c>
      <c r="B6" s="1" t="s">
        <v>334</v>
      </c>
      <c r="C6" s="1" t="s">
        <v>13</v>
      </c>
      <c r="E6" s="3">
        <v>43124.0</v>
      </c>
      <c r="F6" s="1">
        <v>8.5</v>
      </c>
    </row>
    <row r="7">
      <c r="A7" s="1">
        <v>2.0</v>
      </c>
      <c r="B7" s="1" t="s">
        <v>334</v>
      </c>
      <c r="C7" s="1" t="s">
        <v>13</v>
      </c>
      <c r="E7" s="3">
        <v>43311.0</v>
      </c>
      <c r="F7" s="1">
        <v>10.0</v>
      </c>
    </row>
    <row r="8">
      <c r="A8" s="1">
        <v>2.0</v>
      </c>
      <c r="B8" s="1" t="s">
        <v>334</v>
      </c>
      <c r="C8" s="1" t="s">
        <v>13</v>
      </c>
      <c r="E8" s="3">
        <v>43501.0</v>
      </c>
      <c r="F8" s="1">
        <v>10.3</v>
      </c>
    </row>
    <row r="9">
      <c r="A9" s="1">
        <v>2.0</v>
      </c>
      <c r="B9" s="1" t="s">
        <v>334</v>
      </c>
      <c r="C9" s="1" t="s">
        <v>333</v>
      </c>
      <c r="E9" s="3">
        <v>46071.0</v>
      </c>
      <c r="F9" s="4">
        <v>10.19</v>
      </c>
    </row>
    <row r="10">
      <c r="A10" s="1">
        <v>3.0</v>
      </c>
      <c r="B10" s="1" t="s">
        <v>335</v>
      </c>
      <c r="C10" s="1" t="s">
        <v>13</v>
      </c>
      <c r="E10" s="3">
        <v>43124.0</v>
      </c>
      <c r="F10" s="1">
        <v>43.6</v>
      </c>
      <c r="I10" s="1"/>
      <c r="J10" s="1" t="s">
        <v>336</v>
      </c>
    </row>
    <row r="11">
      <c r="A11" s="1">
        <v>3.0</v>
      </c>
      <c r="B11" s="1" t="s">
        <v>335</v>
      </c>
      <c r="C11" s="1" t="s">
        <v>13</v>
      </c>
      <c r="E11" s="3">
        <v>43311.0</v>
      </c>
      <c r="F11" s="1">
        <v>39.8</v>
      </c>
      <c r="I11" s="1"/>
      <c r="J11" s="1" t="s">
        <v>336</v>
      </c>
    </row>
    <row r="12">
      <c r="A12" s="1">
        <v>3.0</v>
      </c>
      <c r="B12" s="1" t="s">
        <v>335</v>
      </c>
      <c r="C12" s="1" t="s">
        <v>13</v>
      </c>
      <c r="E12" s="3">
        <v>43501.0</v>
      </c>
      <c r="F12" s="1">
        <v>38.7</v>
      </c>
      <c r="I12" s="1"/>
      <c r="J12" s="1" t="s">
        <v>336</v>
      </c>
    </row>
    <row r="13">
      <c r="A13" s="1">
        <v>3.0</v>
      </c>
      <c r="B13" s="1" t="s">
        <v>335</v>
      </c>
      <c r="C13" s="1" t="s">
        <v>333</v>
      </c>
      <c r="E13" s="3">
        <v>46071.0</v>
      </c>
      <c r="F13" s="4">
        <v>79.26</v>
      </c>
      <c r="I13" s="1"/>
      <c r="J13" s="1" t="s">
        <v>337</v>
      </c>
    </row>
    <row r="14">
      <c r="A14" s="1">
        <v>4.0</v>
      </c>
      <c r="B14" s="1" t="s">
        <v>78</v>
      </c>
      <c r="C14" s="1" t="s">
        <v>13</v>
      </c>
      <c r="E14" s="3">
        <v>43124.0</v>
      </c>
      <c r="F14" s="1">
        <v>64.3</v>
      </c>
      <c r="G14" s="1">
        <v>17.5</v>
      </c>
      <c r="H14" s="1">
        <v>11.0</v>
      </c>
    </row>
    <row r="15">
      <c r="A15" s="1">
        <v>4.0</v>
      </c>
      <c r="B15" s="1" t="s">
        <v>78</v>
      </c>
      <c r="C15" s="1" t="s">
        <v>13</v>
      </c>
      <c r="E15" s="3">
        <v>43311.0</v>
      </c>
      <c r="F15" s="1">
        <v>64.3</v>
      </c>
      <c r="G15" s="1">
        <v>19.4</v>
      </c>
      <c r="H15" s="1">
        <v>12.0</v>
      </c>
      <c r="I15" s="1"/>
      <c r="J15" s="1"/>
    </row>
    <row r="16">
      <c r="A16" s="1">
        <v>4.0</v>
      </c>
      <c r="B16" s="1" t="s">
        <v>78</v>
      </c>
      <c r="C16" s="1" t="s">
        <v>13</v>
      </c>
      <c r="E16" s="3">
        <v>43501.0</v>
      </c>
      <c r="F16" s="1">
        <v>66.2</v>
      </c>
      <c r="G16" s="1">
        <v>18.1</v>
      </c>
      <c r="H16" s="1">
        <v>11.1</v>
      </c>
      <c r="I16" s="1"/>
      <c r="J16" s="1"/>
    </row>
    <row r="17">
      <c r="A17" s="1">
        <v>4.0</v>
      </c>
      <c r="B17" s="1" t="s">
        <v>78</v>
      </c>
      <c r="C17" s="1" t="s">
        <v>333</v>
      </c>
      <c r="E17" s="3">
        <v>46071.0</v>
      </c>
      <c r="F17" s="4">
        <v>76.71</v>
      </c>
      <c r="G17" s="4">
        <v>29.28</v>
      </c>
      <c r="H17" s="4">
        <v>10.66</v>
      </c>
    </row>
    <row r="18">
      <c r="A18" s="1">
        <v>5.0</v>
      </c>
      <c r="B18" s="1" t="s">
        <v>335</v>
      </c>
      <c r="C18" s="1" t="s">
        <v>13</v>
      </c>
      <c r="E18" s="3">
        <v>43124.0</v>
      </c>
      <c r="F18" s="1">
        <v>56.7</v>
      </c>
      <c r="I18" s="1"/>
      <c r="J18" s="1" t="s">
        <v>338</v>
      </c>
    </row>
    <row r="19">
      <c r="A19" s="1">
        <v>5.0</v>
      </c>
      <c r="B19" s="1" t="s">
        <v>335</v>
      </c>
      <c r="C19" s="1" t="s">
        <v>13</v>
      </c>
      <c r="E19" s="3">
        <v>43311.0</v>
      </c>
      <c r="F19" s="1">
        <v>50.9</v>
      </c>
      <c r="I19" s="1"/>
      <c r="J19" s="1" t="s">
        <v>339</v>
      </c>
    </row>
    <row r="20">
      <c r="A20" s="1">
        <v>5.0</v>
      </c>
      <c r="B20" s="1" t="s">
        <v>335</v>
      </c>
      <c r="C20" s="1" t="s">
        <v>13</v>
      </c>
      <c r="E20" s="3">
        <v>43501.0</v>
      </c>
      <c r="F20" s="1">
        <v>48.2</v>
      </c>
      <c r="I20" s="1"/>
      <c r="J20" s="1" t="s">
        <v>340</v>
      </c>
    </row>
    <row r="21">
      <c r="A21" s="1">
        <v>5.0</v>
      </c>
      <c r="B21" s="1" t="s">
        <v>335</v>
      </c>
      <c r="C21" s="1" t="s">
        <v>333</v>
      </c>
      <c r="E21" s="3">
        <v>46071.0</v>
      </c>
      <c r="F21" s="4">
        <v>77.03</v>
      </c>
    </row>
    <row r="22">
      <c r="A22" s="1">
        <v>6.0</v>
      </c>
      <c r="B22" s="1" t="s">
        <v>335</v>
      </c>
      <c r="C22" s="1" t="s">
        <v>13</v>
      </c>
      <c r="E22" s="3">
        <v>43124.0</v>
      </c>
      <c r="F22" s="1">
        <v>36.6</v>
      </c>
      <c r="I22" s="1"/>
      <c r="J22" s="1" t="s">
        <v>341</v>
      </c>
    </row>
    <row r="23">
      <c r="A23" s="1">
        <v>6.0</v>
      </c>
      <c r="B23" s="1" t="s">
        <v>335</v>
      </c>
      <c r="C23" s="1" t="s">
        <v>13</v>
      </c>
      <c r="E23" s="3">
        <v>43311.0</v>
      </c>
      <c r="F23" s="1">
        <v>33.1</v>
      </c>
      <c r="I23" s="1"/>
      <c r="J23" s="1" t="s">
        <v>341</v>
      </c>
    </row>
    <row r="24">
      <c r="A24" s="1">
        <v>6.0</v>
      </c>
      <c r="B24" s="1" t="s">
        <v>335</v>
      </c>
      <c r="C24" s="1" t="s">
        <v>13</v>
      </c>
      <c r="E24" s="3">
        <v>43501.0</v>
      </c>
      <c r="F24" s="1">
        <v>33.4</v>
      </c>
      <c r="I24" s="1"/>
      <c r="J24" s="1" t="s">
        <v>341</v>
      </c>
    </row>
    <row r="25">
      <c r="A25" s="1">
        <v>6.0</v>
      </c>
      <c r="B25" s="1" t="s">
        <v>335</v>
      </c>
      <c r="C25" s="1" t="s">
        <v>333</v>
      </c>
      <c r="E25" s="3">
        <v>46071.0</v>
      </c>
      <c r="I25" s="1" t="s">
        <v>50</v>
      </c>
    </row>
    <row r="26">
      <c r="A26" s="1">
        <v>7.0</v>
      </c>
      <c r="B26" s="1" t="s">
        <v>335</v>
      </c>
      <c r="C26" s="1" t="s">
        <v>13</v>
      </c>
      <c r="E26" s="3">
        <v>43124.0</v>
      </c>
      <c r="F26" s="1">
        <v>14.3</v>
      </c>
    </row>
    <row r="27">
      <c r="A27" s="1">
        <v>7.0</v>
      </c>
      <c r="B27" s="1" t="s">
        <v>335</v>
      </c>
      <c r="C27" s="1" t="s">
        <v>13</v>
      </c>
      <c r="E27" s="3">
        <v>43311.0</v>
      </c>
      <c r="F27" s="1">
        <v>14.0</v>
      </c>
      <c r="I27" s="1"/>
    </row>
    <row r="28">
      <c r="A28" s="1">
        <v>7.0</v>
      </c>
      <c r="B28" s="1" t="s">
        <v>335</v>
      </c>
      <c r="C28" s="1" t="s">
        <v>13</v>
      </c>
      <c r="E28" s="3">
        <v>43501.0</v>
      </c>
      <c r="F28" s="1">
        <v>14.3</v>
      </c>
      <c r="I28" s="1"/>
    </row>
    <row r="29">
      <c r="A29" s="1">
        <v>7.0</v>
      </c>
      <c r="B29" s="1" t="s">
        <v>335</v>
      </c>
      <c r="C29" s="1" t="s">
        <v>333</v>
      </c>
      <c r="E29" s="3">
        <v>46071.0</v>
      </c>
      <c r="I29" s="1" t="s">
        <v>50</v>
      </c>
    </row>
    <row r="30">
      <c r="A30" s="1">
        <v>8.0</v>
      </c>
      <c r="B30" s="1" t="s">
        <v>335</v>
      </c>
      <c r="C30" s="1" t="s">
        <v>13</v>
      </c>
      <c r="E30" s="3">
        <v>43124.0</v>
      </c>
      <c r="F30" s="1">
        <v>32.8</v>
      </c>
      <c r="I30" s="1"/>
      <c r="J30" s="1" t="s">
        <v>342</v>
      </c>
    </row>
    <row r="31">
      <c r="A31" s="1">
        <v>8.0</v>
      </c>
      <c r="B31" s="1" t="s">
        <v>335</v>
      </c>
      <c r="C31" s="1" t="s">
        <v>13</v>
      </c>
      <c r="E31" s="3">
        <v>43311.0</v>
      </c>
      <c r="F31" s="1">
        <v>33.1</v>
      </c>
      <c r="I31" s="1"/>
      <c r="J31" s="1" t="s">
        <v>342</v>
      </c>
    </row>
    <row r="32">
      <c r="A32" s="1">
        <v>8.0</v>
      </c>
      <c r="B32" s="1" t="s">
        <v>335</v>
      </c>
      <c r="C32" s="1" t="s">
        <v>13</v>
      </c>
      <c r="E32" s="3">
        <v>43501.0</v>
      </c>
      <c r="F32" s="1">
        <v>33.4</v>
      </c>
      <c r="I32" s="1"/>
      <c r="J32" s="1" t="s">
        <v>342</v>
      </c>
    </row>
    <row r="33">
      <c r="A33" s="1">
        <v>8.0</v>
      </c>
      <c r="B33" s="1" t="s">
        <v>335</v>
      </c>
      <c r="C33" s="1" t="s">
        <v>333</v>
      </c>
      <c r="E33" s="3">
        <v>46071.0</v>
      </c>
      <c r="I33" s="1" t="s">
        <v>50</v>
      </c>
    </row>
    <row r="34">
      <c r="A34" s="1">
        <v>9.0</v>
      </c>
      <c r="B34" s="1" t="s">
        <v>335</v>
      </c>
      <c r="C34" s="1" t="s">
        <v>13</v>
      </c>
      <c r="E34" s="3">
        <v>43124.0</v>
      </c>
      <c r="F34" s="1">
        <v>35.7</v>
      </c>
    </row>
    <row r="35">
      <c r="A35" s="1">
        <v>9.0</v>
      </c>
      <c r="B35" s="1" t="s">
        <v>335</v>
      </c>
      <c r="C35" s="1" t="s">
        <v>13</v>
      </c>
      <c r="E35" s="3">
        <v>43311.0</v>
      </c>
      <c r="F35" s="1">
        <v>39.8</v>
      </c>
      <c r="I35" s="1"/>
    </row>
    <row r="36">
      <c r="A36" s="1">
        <v>9.0</v>
      </c>
      <c r="B36" s="1" t="s">
        <v>335</v>
      </c>
      <c r="C36" s="1" t="s">
        <v>13</v>
      </c>
      <c r="E36" s="3">
        <v>43501.0</v>
      </c>
      <c r="F36" s="1">
        <v>38.8</v>
      </c>
      <c r="I36" s="1"/>
    </row>
    <row r="37">
      <c r="A37" s="1">
        <v>9.0</v>
      </c>
      <c r="B37" s="65" t="s">
        <v>335</v>
      </c>
      <c r="C37" s="1" t="s">
        <v>333</v>
      </c>
      <c r="E37" s="3">
        <v>46071.0</v>
      </c>
      <c r="I37" s="1" t="s">
        <v>50</v>
      </c>
    </row>
    <row r="38">
      <c r="A38" s="1">
        <v>10.0</v>
      </c>
      <c r="B38" s="66" t="s">
        <v>335</v>
      </c>
      <c r="C38" s="1" t="s">
        <v>13</v>
      </c>
      <c r="E38" s="3">
        <v>43124.0</v>
      </c>
      <c r="F38" s="1">
        <v>25.8</v>
      </c>
    </row>
    <row r="39">
      <c r="A39" s="1">
        <v>10.0</v>
      </c>
      <c r="B39" s="65" t="s">
        <v>335</v>
      </c>
      <c r="C39" s="1" t="s">
        <v>13</v>
      </c>
      <c r="E39" s="3">
        <v>43311.0</v>
      </c>
      <c r="F39" s="1">
        <v>25.1</v>
      </c>
      <c r="I39" s="1"/>
    </row>
    <row r="40">
      <c r="A40" s="1">
        <v>10.0</v>
      </c>
      <c r="B40" s="66" t="s">
        <v>335</v>
      </c>
      <c r="C40" s="1" t="s">
        <v>13</v>
      </c>
      <c r="E40" s="3">
        <v>43501.0</v>
      </c>
      <c r="F40" s="1">
        <v>25.6</v>
      </c>
      <c r="I40" s="1"/>
    </row>
    <row r="41">
      <c r="A41" s="1">
        <v>10.0</v>
      </c>
      <c r="B41" s="65" t="s">
        <v>335</v>
      </c>
      <c r="C41" s="1" t="s">
        <v>333</v>
      </c>
      <c r="E41" s="3">
        <v>46071.0</v>
      </c>
      <c r="I41" s="1" t="s">
        <v>50</v>
      </c>
    </row>
    <row r="42">
      <c r="A42" s="1">
        <v>11.0</v>
      </c>
      <c r="B42" s="66" t="s">
        <v>343</v>
      </c>
      <c r="C42" s="1" t="s">
        <v>13</v>
      </c>
      <c r="E42" s="3">
        <v>43124.0</v>
      </c>
      <c r="F42" s="1">
        <v>32.5</v>
      </c>
      <c r="G42" s="1">
        <v>32.5</v>
      </c>
      <c r="H42" s="1">
        <v>20.1</v>
      </c>
      <c r="I42" s="1"/>
      <c r="J42" s="1" t="s">
        <v>344</v>
      </c>
    </row>
    <row r="43">
      <c r="A43" s="1">
        <v>11.0</v>
      </c>
      <c r="B43" s="65" t="s">
        <v>343</v>
      </c>
      <c r="C43" s="1" t="s">
        <v>13</v>
      </c>
      <c r="E43" s="3">
        <v>43501.0</v>
      </c>
      <c r="F43" s="1">
        <v>36.9</v>
      </c>
      <c r="G43" s="1">
        <v>36.5</v>
      </c>
      <c r="H43" s="1">
        <v>25.8</v>
      </c>
      <c r="J43" s="1" t="s">
        <v>344</v>
      </c>
    </row>
    <row r="44">
      <c r="A44" s="1">
        <v>11.0</v>
      </c>
      <c r="B44" s="66" t="s">
        <v>343</v>
      </c>
      <c r="C44" s="1" t="s">
        <v>333</v>
      </c>
      <c r="E44" s="3">
        <v>46071.0</v>
      </c>
      <c r="F44" s="4">
        <v>38.2</v>
      </c>
      <c r="G44" s="4">
        <v>37.24</v>
      </c>
      <c r="H44" s="4">
        <v>20.05</v>
      </c>
      <c r="J44" s="1" t="s">
        <v>345</v>
      </c>
    </row>
    <row r="45">
      <c r="A45" s="1">
        <v>12.0</v>
      </c>
      <c r="B45" s="65" t="s">
        <v>335</v>
      </c>
      <c r="C45" s="1" t="s">
        <v>13</v>
      </c>
      <c r="E45" s="3">
        <v>43124.0</v>
      </c>
      <c r="F45" s="1">
        <v>44.9</v>
      </c>
      <c r="I45" s="1"/>
      <c r="J45" s="1" t="s">
        <v>346</v>
      </c>
    </row>
    <row r="46">
      <c r="A46" s="1">
        <v>12.0</v>
      </c>
      <c r="B46" s="66" t="s">
        <v>335</v>
      </c>
      <c r="C46" s="1" t="s">
        <v>13</v>
      </c>
      <c r="E46" s="3">
        <v>43311.0</v>
      </c>
      <c r="F46" s="1">
        <v>44.9</v>
      </c>
      <c r="G46" s="1">
        <v>18.5</v>
      </c>
    </row>
    <row r="47">
      <c r="A47" s="1">
        <v>12.0</v>
      </c>
      <c r="B47" s="65" t="s">
        <v>335</v>
      </c>
      <c r="C47" s="1" t="s">
        <v>13</v>
      </c>
      <c r="E47" s="3">
        <v>43501.0</v>
      </c>
      <c r="F47" s="1">
        <v>45.7</v>
      </c>
      <c r="G47" s="1">
        <v>18.7</v>
      </c>
    </row>
    <row r="48">
      <c r="A48" s="1">
        <v>12.0</v>
      </c>
      <c r="B48" s="66" t="s">
        <v>335</v>
      </c>
      <c r="C48" s="1" t="s">
        <v>333</v>
      </c>
      <c r="E48" s="3">
        <v>46071.0</v>
      </c>
      <c r="F48" s="4">
        <v>95.17</v>
      </c>
    </row>
    <row r="49">
      <c r="A49" s="1">
        <v>13.0</v>
      </c>
      <c r="B49" s="65" t="s">
        <v>14</v>
      </c>
      <c r="C49" s="1" t="s">
        <v>13</v>
      </c>
      <c r="E49" s="3">
        <v>43124.0</v>
      </c>
      <c r="F49" s="1">
        <v>9.9</v>
      </c>
      <c r="J49" s="1" t="s">
        <v>347</v>
      </c>
    </row>
    <row r="50">
      <c r="A50" s="1">
        <v>13.0</v>
      </c>
      <c r="B50" s="66" t="s">
        <v>14</v>
      </c>
      <c r="C50" s="1" t="s">
        <v>13</v>
      </c>
      <c r="E50" s="3">
        <v>43311.0</v>
      </c>
      <c r="F50" s="1">
        <v>11.0</v>
      </c>
    </row>
    <row r="51">
      <c r="A51" s="1">
        <v>13.0</v>
      </c>
      <c r="B51" s="65" t="s">
        <v>14</v>
      </c>
      <c r="C51" s="1" t="s">
        <v>13</v>
      </c>
      <c r="E51" s="3">
        <v>43501.0</v>
      </c>
      <c r="F51" s="1">
        <v>11.0</v>
      </c>
    </row>
    <row r="52">
      <c r="A52" s="1">
        <v>13.0</v>
      </c>
      <c r="B52" s="66" t="s">
        <v>14</v>
      </c>
      <c r="C52" s="1" t="s">
        <v>333</v>
      </c>
      <c r="E52" s="3">
        <v>46071.0</v>
      </c>
      <c r="F52" s="4">
        <v>18.62</v>
      </c>
    </row>
    <row r="53">
      <c r="A53" s="1">
        <v>14.0</v>
      </c>
      <c r="B53" s="65" t="s">
        <v>348</v>
      </c>
      <c r="C53" s="1" t="s">
        <v>13</v>
      </c>
      <c r="E53" s="3">
        <v>43124.0</v>
      </c>
      <c r="F53" s="1">
        <v>63.3</v>
      </c>
      <c r="G53" s="1">
        <v>41.4</v>
      </c>
      <c r="I53" s="1"/>
      <c r="J53" s="1" t="s">
        <v>349</v>
      </c>
    </row>
    <row r="54">
      <c r="A54" s="1">
        <v>14.0</v>
      </c>
      <c r="B54" s="66" t="s">
        <v>348</v>
      </c>
      <c r="C54" s="1" t="s">
        <v>13</v>
      </c>
      <c r="E54" s="3">
        <v>43311.0</v>
      </c>
      <c r="F54" s="1">
        <v>53.2</v>
      </c>
      <c r="G54" s="1">
        <v>32.1</v>
      </c>
      <c r="J54" s="1" t="s">
        <v>349</v>
      </c>
    </row>
    <row r="55">
      <c r="A55" s="1">
        <v>14.0</v>
      </c>
      <c r="B55" s="65" t="s">
        <v>348</v>
      </c>
      <c r="C55" s="1" t="s">
        <v>13</v>
      </c>
      <c r="E55" s="3">
        <v>43501.0</v>
      </c>
      <c r="F55" s="1">
        <v>56.7</v>
      </c>
      <c r="G55" s="1">
        <v>32.8</v>
      </c>
      <c r="J55" s="1" t="s">
        <v>350</v>
      </c>
    </row>
    <row r="56">
      <c r="A56" s="1">
        <v>14.0</v>
      </c>
      <c r="B56" s="66" t="s">
        <v>348</v>
      </c>
      <c r="C56" s="1" t="s">
        <v>333</v>
      </c>
      <c r="E56" s="3">
        <v>46071.0</v>
      </c>
      <c r="F56" s="4">
        <v>80.21</v>
      </c>
      <c r="G56" s="4">
        <v>46.0</v>
      </c>
    </row>
    <row r="57">
      <c r="A57" s="1">
        <v>15.0</v>
      </c>
      <c r="B57" s="65" t="s">
        <v>334</v>
      </c>
      <c r="C57" s="1" t="s">
        <v>13</v>
      </c>
      <c r="E57" s="3">
        <v>43124.0</v>
      </c>
      <c r="F57" s="1">
        <v>16.5</v>
      </c>
      <c r="I57" s="1"/>
      <c r="J57" s="1" t="s">
        <v>351</v>
      </c>
    </row>
    <row r="58">
      <c r="A58" s="1">
        <v>15.0</v>
      </c>
      <c r="B58" s="66" t="s">
        <v>334</v>
      </c>
      <c r="C58" s="1" t="s">
        <v>13</v>
      </c>
      <c r="E58" s="3">
        <v>43311.0</v>
      </c>
      <c r="F58" s="1">
        <v>16.0</v>
      </c>
      <c r="J58" s="1" t="s">
        <v>351</v>
      </c>
    </row>
    <row r="59">
      <c r="A59" s="1">
        <v>15.0</v>
      </c>
      <c r="B59" s="65" t="s">
        <v>334</v>
      </c>
      <c r="C59" s="1" t="s">
        <v>13</v>
      </c>
      <c r="E59" s="3">
        <v>43501.0</v>
      </c>
      <c r="F59" s="1">
        <v>15.9</v>
      </c>
      <c r="J59" s="1" t="s">
        <v>351</v>
      </c>
    </row>
    <row r="60">
      <c r="A60" s="1">
        <v>15.0</v>
      </c>
      <c r="B60" s="66" t="s">
        <v>334</v>
      </c>
      <c r="C60" s="1" t="s">
        <v>333</v>
      </c>
      <c r="E60" s="3">
        <v>46071.0</v>
      </c>
      <c r="F60" s="4">
        <v>14.48</v>
      </c>
    </row>
    <row r="61">
      <c r="A61" s="1">
        <v>16.0</v>
      </c>
      <c r="B61" s="65" t="s">
        <v>352</v>
      </c>
      <c r="C61" s="1" t="s">
        <v>13</v>
      </c>
      <c r="E61" s="3">
        <v>43124.0</v>
      </c>
      <c r="F61" s="1">
        <v>18.8</v>
      </c>
      <c r="I61" s="1"/>
      <c r="J61" s="1" t="s">
        <v>353</v>
      </c>
    </row>
    <row r="62">
      <c r="A62" s="1">
        <v>16.0</v>
      </c>
      <c r="B62" s="66" t="s">
        <v>352</v>
      </c>
      <c r="C62" s="1" t="s">
        <v>13</v>
      </c>
      <c r="D62" s="1" t="s">
        <v>38</v>
      </c>
      <c r="E62" s="3">
        <v>43311.0</v>
      </c>
      <c r="F62" s="1">
        <v>18.1</v>
      </c>
      <c r="I62" s="1"/>
    </row>
    <row r="63">
      <c r="A63" s="1">
        <v>16.0</v>
      </c>
      <c r="B63" s="65" t="s">
        <v>352</v>
      </c>
      <c r="C63" s="1" t="s">
        <v>13</v>
      </c>
      <c r="E63" s="3">
        <v>43501.0</v>
      </c>
      <c r="F63" s="1">
        <v>18.2</v>
      </c>
      <c r="I63" s="1"/>
    </row>
    <row r="64">
      <c r="A64" s="1">
        <v>16.0</v>
      </c>
      <c r="B64" s="66" t="s">
        <v>352</v>
      </c>
      <c r="C64" s="1" t="s">
        <v>333</v>
      </c>
      <c r="E64" s="3">
        <v>46071.0</v>
      </c>
      <c r="I64" s="1" t="s">
        <v>50</v>
      </c>
    </row>
    <row r="65">
      <c r="A65" s="1">
        <v>17.0</v>
      </c>
      <c r="B65" s="65" t="s">
        <v>354</v>
      </c>
      <c r="C65" s="1" t="s">
        <v>13</v>
      </c>
      <c r="E65" s="3">
        <v>43124.0</v>
      </c>
      <c r="F65" s="1">
        <v>257.8</v>
      </c>
      <c r="I65" s="1"/>
      <c r="J65" s="1" t="s">
        <v>355</v>
      </c>
    </row>
    <row r="66">
      <c r="A66" s="1">
        <v>17.0</v>
      </c>
      <c r="B66" s="66" t="s">
        <v>354</v>
      </c>
      <c r="C66" s="1" t="s">
        <v>13</v>
      </c>
      <c r="E66" s="3">
        <v>43311.0</v>
      </c>
      <c r="F66" s="1">
        <v>218.7</v>
      </c>
      <c r="J66" s="1" t="s">
        <v>355</v>
      </c>
    </row>
    <row r="67">
      <c r="A67" s="1">
        <v>17.0</v>
      </c>
      <c r="B67" s="65" t="s">
        <v>354</v>
      </c>
      <c r="C67" s="1" t="s">
        <v>13</v>
      </c>
      <c r="E67" s="3">
        <v>43501.0</v>
      </c>
      <c r="F67" s="1">
        <v>233.0</v>
      </c>
      <c r="J67" s="1" t="s">
        <v>355</v>
      </c>
    </row>
    <row r="68">
      <c r="A68" s="1">
        <v>17.0</v>
      </c>
      <c r="B68" s="66" t="s">
        <v>354</v>
      </c>
      <c r="C68" s="1" t="s">
        <v>333</v>
      </c>
      <c r="E68" s="3">
        <v>46071.0</v>
      </c>
      <c r="F68" s="4">
        <v>318.31</v>
      </c>
      <c r="J68" s="1" t="s">
        <v>355</v>
      </c>
    </row>
    <row r="69">
      <c r="A69" s="1">
        <v>18.0</v>
      </c>
      <c r="B69" s="65" t="s">
        <v>14</v>
      </c>
      <c r="C69" s="1" t="s">
        <v>13</v>
      </c>
      <c r="E69" s="3">
        <v>43124.0</v>
      </c>
      <c r="F69" s="1">
        <v>13.0</v>
      </c>
    </row>
    <row r="70">
      <c r="A70" s="1">
        <v>18.0</v>
      </c>
      <c r="B70" s="66" t="s">
        <v>14</v>
      </c>
      <c r="C70" s="1" t="s">
        <v>13</v>
      </c>
      <c r="E70" s="3">
        <v>43311.0</v>
      </c>
      <c r="F70" s="1">
        <v>15.0</v>
      </c>
    </row>
    <row r="71">
      <c r="A71" s="1">
        <v>18.0</v>
      </c>
      <c r="B71" s="65" t="s">
        <v>14</v>
      </c>
      <c r="C71" s="1" t="s">
        <v>13</v>
      </c>
      <c r="E71" s="3">
        <v>43501.0</v>
      </c>
      <c r="F71" s="1">
        <v>14.8</v>
      </c>
    </row>
    <row r="72">
      <c r="A72" s="1">
        <v>18.0</v>
      </c>
      <c r="B72" s="66" t="s">
        <v>14</v>
      </c>
      <c r="C72" s="1" t="s">
        <v>333</v>
      </c>
      <c r="E72" s="3">
        <v>46071.0</v>
      </c>
      <c r="F72" s="4">
        <v>18.14</v>
      </c>
    </row>
    <row r="73">
      <c r="A73" s="1">
        <v>19.0</v>
      </c>
      <c r="B73" s="65" t="s">
        <v>356</v>
      </c>
      <c r="C73" s="1" t="s">
        <v>13</v>
      </c>
      <c r="E73" s="3">
        <v>43124.0</v>
      </c>
      <c r="F73" s="1">
        <v>19.1</v>
      </c>
      <c r="I73" s="1"/>
      <c r="J73" s="1" t="s">
        <v>357</v>
      </c>
    </row>
    <row r="74">
      <c r="A74" s="1">
        <v>19.0</v>
      </c>
      <c r="B74" s="66" t="s">
        <v>356</v>
      </c>
      <c r="C74" s="1" t="s">
        <v>13</v>
      </c>
      <c r="E74" s="3">
        <v>43311.0</v>
      </c>
      <c r="F74" s="1">
        <v>20.7</v>
      </c>
    </row>
    <row r="75">
      <c r="A75" s="1">
        <v>19.0</v>
      </c>
      <c r="B75" s="65" t="s">
        <v>356</v>
      </c>
      <c r="C75" s="1" t="s">
        <v>13</v>
      </c>
      <c r="E75" s="3">
        <v>43501.0</v>
      </c>
      <c r="F75" s="1">
        <v>21.8</v>
      </c>
      <c r="J75" s="1" t="s">
        <v>358</v>
      </c>
    </row>
    <row r="76">
      <c r="A76" s="1">
        <v>19.0</v>
      </c>
      <c r="B76" s="1" t="s">
        <v>356</v>
      </c>
      <c r="C76" s="1" t="s">
        <v>333</v>
      </c>
      <c r="E76" s="3">
        <v>46071.0</v>
      </c>
      <c r="F76" s="4">
        <v>35.65</v>
      </c>
      <c r="G76" s="4">
        <v>14.32</v>
      </c>
    </row>
    <row r="77">
      <c r="A77" s="1">
        <v>89.0</v>
      </c>
      <c r="B77" s="1" t="s">
        <v>335</v>
      </c>
      <c r="C77" s="1" t="s">
        <v>13</v>
      </c>
      <c r="D77" s="1"/>
      <c r="E77" s="3">
        <v>43501.0</v>
      </c>
      <c r="F77" s="1">
        <v>10.4</v>
      </c>
      <c r="G77" s="1"/>
      <c r="H77" s="1"/>
      <c r="I77" s="1"/>
      <c r="J77" s="1" t="s">
        <v>359</v>
      </c>
    </row>
    <row r="78">
      <c r="A78" s="1">
        <v>89.0</v>
      </c>
      <c r="B78" s="1" t="s">
        <v>335</v>
      </c>
      <c r="C78" s="1" t="s">
        <v>333</v>
      </c>
      <c r="D78" s="1"/>
      <c r="E78" s="3">
        <v>46071.0</v>
      </c>
      <c r="F78" s="1"/>
      <c r="G78" s="1"/>
      <c r="H78" s="1"/>
      <c r="I78" s="1" t="s">
        <v>50</v>
      </c>
    </row>
    <row r="79">
      <c r="A79" s="1">
        <v>301.0</v>
      </c>
      <c r="B79" s="1" t="s">
        <v>360</v>
      </c>
      <c r="C79" s="1" t="s">
        <v>333</v>
      </c>
      <c r="E79" s="3">
        <v>46071.0</v>
      </c>
      <c r="F79" s="4">
        <v>11.97</v>
      </c>
      <c r="J79" s="1" t="s">
        <v>361</v>
      </c>
    </row>
    <row r="80">
      <c r="A80" s="1">
        <v>302.0</v>
      </c>
      <c r="B80" s="1" t="s">
        <v>334</v>
      </c>
      <c r="C80" s="1" t="s">
        <v>333</v>
      </c>
      <c r="E80" s="3">
        <v>46071.0</v>
      </c>
      <c r="F80" s="4">
        <v>14.01</v>
      </c>
    </row>
    <row r="81">
      <c r="A81" s="1">
        <v>303.0</v>
      </c>
      <c r="B81" s="1" t="s">
        <v>334</v>
      </c>
      <c r="C81" s="1" t="s">
        <v>333</v>
      </c>
      <c r="E81" s="3">
        <v>46071.0</v>
      </c>
      <c r="F81" s="4">
        <v>12.1</v>
      </c>
    </row>
    <row r="82">
      <c r="A82" s="1">
        <v>304.0</v>
      </c>
      <c r="B82" s="1" t="s">
        <v>334</v>
      </c>
      <c r="C82" s="1" t="s">
        <v>333</v>
      </c>
      <c r="E82" s="3">
        <v>46071.0</v>
      </c>
      <c r="F82" s="4">
        <v>11.14</v>
      </c>
    </row>
    <row r="83">
      <c r="A83" s="1">
        <v>305.0</v>
      </c>
      <c r="B83" s="1" t="s">
        <v>334</v>
      </c>
      <c r="C83" s="1" t="s">
        <v>333</v>
      </c>
      <c r="E83" s="3">
        <v>46071.0</v>
      </c>
      <c r="F83" s="4">
        <v>13.69</v>
      </c>
    </row>
    <row r="84">
      <c r="A84" s="1">
        <v>306.0</v>
      </c>
      <c r="B84" s="1" t="s">
        <v>334</v>
      </c>
      <c r="C84" s="1" t="s">
        <v>333</v>
      </c>
      <c r="E84" s="3">
        <v>46071.0</v>
      </c>
      <c r="F84" s="4">
        <v>13.37</v>
      </c>
    </row>
    <row r="85">
      <c r="A85" s="1">
        <v>307.0</v>
      </c>
      <c r="B85" s="1" t="s">
        <v>334</v>
      </c>
      <c r="C85" s="1" t="s">
        <v>333</v>
      </c>
      <c r="E85" s="3">
        <v>46071.0</v>
      </c>
      <c r="F85" s="4">
        <v>10.5</v>
      </c>
    </row>
    <row r="86">
      <c r="A86" s="1">
        <v>308.0</v>
      </c>
      <c r="B86" s="1" t="s">
        <v>334</v>
      </c>
      <c r="C86" s="1" t="s">
        <v>333</v>
      </c>
      <c r="E86" s="3">
        <v>46071.0</v>
      </c>
      <c r="F86" s="4">
        <v>13.53</v>
      </c>
    </row>
  </sheetData>
  <autoFilter ref="$A$1:$J$103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4.75"/>
    <col customWidth="1" min="3" max="3" width="12.5"/>
    <col customWidth="1" min="4" max="4" width="14.0"/>
    <col customWidth="1" min="5" max="5" width="16.0"/>
    <col customWidth="1" min="6" max="6" width="7.38"/>
    <col customWidth="1" min="7" max="7" width="9.0"/>
    <col customWidth="1" min="8" max="10" width="40.75"/>
    <col customWidth="1" min="11" max="11" width="24.0"/>
    <col customWidth="1" min="12" max="17" width="40.75"/>
    <col customWidth="1" min="18" max="18" width="16.5"/>
    <col customWidth="1" min="19" max="41" width="40.75"/>
  </cols>
  <sheetData>
    <row r="1" ht="22.5" customHeight="1">
      <c r="A1" s="67" t="s">
        <v>362</v>
      </c>
      <c r="B1" s="67" t="s">
        <v>363</v>
      </c>
      <c r="C1" s="67" t="s">
        <v>364</v>
      </c>
      <c r="D1" s="67" t="s">
        <v>365</v>
      </c>
      <c r="E1" s="67" t="s">
        <v>2</v>
      </c>
      <c r="F1" s="67" t="s">
        <v>366</v>
      </c>
    </row>
    <row r="2">
      <c r="A2" s="1">
        <v>20.0</v>
      </c>
      <c r="B2" s="1">
        <v>2.5</v>
      </c>
      <c r="C2" s="1">
        <v>5.0</v>
      </c>
      <c r="D2" s="4">
        <v>69.39</v>
      </c>
      <c r="F2" s="1" t="s">
        <v>367</v>
      </c>
    </row>
    <row r="3">
      <c r="A3" s="1">
        <v>21.0</v>
      </c>
      <c r="B3" s="1">
        <v>3.5</v>
      </c>
      <c r="C3" s="1">
        <v>5.0</v>
      </c>
      <c r="D3" s="4">
        <v>29.28</v>
      </c>
      <c r="F3" s="1" t="s">
        <v>367</v>
      </c>
    </row>
    <row r="4">
      <c r="A4" s="1">
        <v>22.0</v>
      </c>
      <c r="B4" s="1">
        <v>5.0</v>
      </c>
      <c r="C4" s="1">
        <v>5.5</v>
      </c>
      <c r="D4" s="4">
        <v>43.29</v>
      </c>
      <c r="F4" s="1" t="s">
        <v>367</v>
      </c>
    </row>
    <row r="5">
      <c r="A5" s="1">
        <v>23.0</v>
      </c>
      <c r="B5" s="1">
        <v>2.5</v>
      </c>
      <c r="C5" s="1">
        <v>10.0</v>
      </c>
      <c r="F5" s="1" t="s">
        <v>50</v>
      </c>
    </row>
    <row r="6">
      <c r="A6" s="1">
        <v>24.0</v>
      </c>
      <c r="B6" s="1">
        <v>4.5</v>
      </c>
      <c r="C6" s="1">
        <v>12.5</v>
      </c>
      <c r="D6" s="4">
        <v>37.24</v>
      </c>
      <c r="F6" s="1" t="s">
        <v>367</v>
      </c>
    </row>
    <row r="7">
      <c r="A7" s="1">
        <v>25.0</v>
      </c>
      <c r="B7" s="1">
        <v>8.5</v>
      </c>
      <c r="C7" s="1">
        <v>12.5</v>
      </c>
      <c r="D7" s="4">
        <v>26.26</v>
      </c>
      <c r="F7" s="1" t="s">
        <v>367</v>
      </c>
    </row>
    <row r="8">
      <c r="A8" s="1">
        <v>26.0</v>
      </c>
      <c r="B8" s="1">
        <v>4.0</v>
      </c>
      <c r="C8" s="1">
        <v>14.5</v>
      </c>
      <c r="D8" s="4">
        <v>36.61</v>
      </c>
      <c r="F8" s="1" t="s">
        <v>367</v>
      </c>
    </row>
    <row r="9">
      <c r="A9" s="1">
        <v>27.0</v>
      </c>
      <c r="B9" s="1">
        <v>6.0</v>
      </c>
      <c r="C9" s="1">
        <v>13.5</v>
      </c>
      <c r="D9" s="4">
        <v>9.87</v>
      </c>
      <c r="F9" s="1" t="s">
        <v>367</v>
      </c>
    </row>
    <row r="10">
      <c r="A10" s="1">
        <v>28.0</v>
      </c>
      <c r="B10" s="1">
        <v>9.0</v>
      </c>
      <c r="C10" s="1">
        <v>13.5</v>
      </c>
      <c r="F10" s="1" t="s">
        <v>50</v>
      </c>
    </row>
    <row r="11">
      <c r="A11" s="1">
        <v>29.0</v>
      </c>
      <c r="B11" s="1">
        <v>9.0</v>
      </c>
      <c r="C11" s="1">
        <v>17.0</v>
      </c>
      <c r="D11" s="4">
        <v>36.61</v>
      </c>
      <c r="F11" s="1" t="s">
        <v>367</v>
      </c>
    </row>
    <row r="12">
      <c r="A12" s="1">
        <v>30.0</v>
      </c>
      <c r="B12" s="1">
        <v>6.5</v>
      </c>
      <c r="C12" s="1">
        <v>16.0</v>
      </c>
      <c r="D12" s="4">
        <v>13.69</v>
      </c>
      <c r="F12" s="1" t="s">
        <v>367</v>
      </c>
    </row>
    <row r="13">
      <c r="A13" s="1">
        <v>31.0</v>
      </c>
      <c r="B13" s="1">
        <v>6.0</v>
      </c>
      <c r="C13" s="1">
        <v>17.0</v>
      </c>
      <c r="D13" s="4">
        <v>30.88</v>
      </c>
      <c r="F13" s="1" t="s">
        <v>367</v>
      </c>
    </row>
    <row r="14">
      <c r="A14" s="1">
        <v>32.0</v>
      </c>
      <c r="B14" s="1">
        <v>0.5</v>
      </c>
      <c r="C14" s="1">
        <v>19.0</v>
      </c>
      <c r="D14" s="4">
        <v>20.69</v>
      </c>
      <c r="F14" s="1" t="s">
        <v>367</v>
      </c>
    </row>
    <row r="15">
      <c r="A15" s="1">
        <v>33.0</v>
      </c>
      <c r="B15" s="1">
        <v>9.0</v>
      </c>
      <c r="C15" s="1">
        <v>20.0</v>
      </c>
      <c r="D15" s="4">
        <v>12.73</v>
      </c>
      <c r="F15" s="1" t="s">
        <v>367</v>
      </c>
    </row>
    <row r="16">
      <c r="A16" s="1">
        <v>34.0</v>
      </c>
      <c r="B16" s="1">
        <v>6.0</v>
      </c>
      <c r="C16" s="1">
        <v>21.5</v>
      </c>
      <c r="F16" s="1" t="s">
        <v>50</v>
      </c>
    </row>
    <row r="17">
      <c r="A17" s="1">
        <v>35.0</v>
      </c>
      <c r="B17" s="1">
        <v>6.5</v>
      </c>
      <c r="C17" s="1">
        <v>23.5</v>
      </c>
      <c r="D17" s="4">
        <v>92.31</v>
      </c>
      <c r="F17" s="1" t="s">
        <v>367</v>
      </c>
    </row>
    <row r="18">
      <c r="A18" s="1">
        <v>36.0</v>
      </c>
      <c r="B18" s="1">
        <v>2.0</v>
      </c>
      <c r="C18" s="1">
        <v>24.5</v>
      </c>
      <c r="D18" s="4">
        <v>22.44</v>
      </c>
      <c r="F18" s="1" t="s">
        <v>367</v>
      </c>
    </row>
    <row r="19">
      <c r="A19" s="1">
        <v>37.0</v>
      </c>
      <c r="B19" s="1">
        <v>6.5</v>
      </c>
      <c r="C19" s="1">
        <v>25.5</v>
      </c>
      <c r="D19" s="4">
        <v>64.94</v>
      </c>
      <c r="F19" s="1" t="s">
        <v>367</v>
      </c>
    </row>
    <row r="20">
      <c r="A20" s="1">
        <v>38.0</v>
      </c>
      <c r="B20" s="1">
        <v>15.0</v>
      </c>
      <c r="C20" s="1">
        <v>3.0</v>
      </c>
      <c r="F20" s="1" t="s">
        <v>50</v>
      </c>
    </row>
    <row r="21">
      <c r="A21" s="1">
        <v>39.0</v>
      </c>
      <c r="B21" s="1">
        <v>16.6</v>
      </c>
      <c r="C21" s="1">
        <v>7.5</v>
      </c>
      <c r="D21" s="4">
        <v>10.82</v>
      </c>
      <c r="F21" s="1" t="s">
        <v>367</v>
      </c>
    </row>
    <row r="22">
      <c r="A22" s="1">
        <v>40.0</v>
      </c>
      <c r="B22" s="1">
        <v>15.5</v>
      </c>
      <c r="C22" s="1">
        <v>9.0</v>
      </c>
      <c r="D22" s="4">
        <v>19.26</v>
      </c>
      <c r="F22" s="1" t="s">
        <v>367</v>
      </c>
    </row>
    <row r="23">
      <c r="A23" s="1">
        <v>41.0</v>
      </c>
      <c r="B23" s="1">
        <v>14.0</v>
      </c>
      <c r="C23" s="1">
        <v>10.5</v>
      </c>
      <c r="D23" s="4">
        <v>39.47</v>
      </c>
      <c r="F23" s="1" t="s">
        <v>367</v>
      </c>
    </row>
    <row r="24">
      <c r="A24" s="1">
        <v>42.0</v>
      </c>
      <c r="B24" s="1">
        <v>19.0</v>
      </c>
      <c r="C24" s="1">
        <v>10.5</v>
      </c>
      <c r="D24" s="4">
        <v>12.25</v>
      </c>
      <c r="F24" s="1" t="s">
        <v>367</v>
      </c>
    </row>
    <row r="25">
      <c r="A25" s="1">
        <v>43.0</v>
      </c>
      <c r="B25" s="1">
        <v>16.5</v>
      </c>
      <c r="C25" s="1">
        <v>13.5</v>
      </c>
      <c r="D25" s="4">
        <v>15.92</v>
      </c>
      <c r="F25" s="1" t="s">
        <v>367</v>
      </c>
    </row>
    <row r="26">
      <c r="A26" s="1">
        <v>44.0</v>
      </c>
      <c r="B26" s="1">
        <v>11.0</v>
      </c>
      <c r="C26" s="1">
        <v>18.5</v>
      </c>
      <c r="D26" s="4">
        <v>20.05</v>
      </c>
      <c r="F26" s="1" t="s">
        <v>367</v>
      </c>
    </row>
    <row r="27">
      <c r="A27" s="1">
        <v>45.0</v>
      </c>
      <c r="B27" s="1">
        <v>11.5</v>
      </c>
      <c r="C27" s="1">
        <v>23.0</v>
      </c>
      <c r="D27" s="4">
        <v>14.32</v>
      </c>
      <c r="F27" s="1" t="s">
        <v>367</v>
      </c>
    </row>
    <row r="28">
      <c r="A28" s="1">
        <v>46.0</v>
      </c>
      <c r="B28" s="1">
        <v>11.5</v>
      </c>
      <c r="C28" s="1">
        <v>25.0</v>
      </c>
      <c r="D28" s="4">
        <v>24.83</v>
      </c>
      <c r="F28" s="1" t="s">
        <v>367</v>
      </c>
    </row>
    <row r="29">
      <c r="A29" s="1">
        <v>47.0</v>
      </c>
      <c r="B29" s="1">
        <v>19.0</v>
      </c>
      <c r="C29" s="1">
        <v>24.0</v>
      </c>
      <c r="D29" s="4">
        <v>17.51</v>
      </c>
      <c r="F29" s="1" t="s">
        <v>367</v>
      </c>
    </row>
    <row r="30">
      <c r="A30" s="1">
        <v>48.0</v>
      </c>
      <c r="B30" s="1">
        <v>14.0</v>
      </c>
      <c r="C30" s="1">
        <v>25.5</v>
      </c>
      <c r="D30" s="4">
        <v>26.42</v>
      </c>
      <c r="F30" s="1" t="s">
        <v>367</v>
      </c>
    </row>
    <row r="31">
      <c r="A31" s="1">
        <v>49.0</v>
      </c>
      <c r="B31" s="1">
        <v>15.0</v>
      </c>
      <c r="C31" s="1">
        <v>27.0</v>
      </c>
      <c r="D31" s="4">
        <v>27.53</v>
      </c>
      <c r="F31" s="1" t="s">
        <v>367</v>
      </c>
    </row>
    <row r="32">
      <c r="A32" s="1">
        <v>50.0</v>
      </c>
      <c r="B32" s="1">
        <v>15.0</v>
      </c>
      <c r="C32" s="1">
        <v>28.0</v>
      </c>
      <c r="F32" s="1" t="s">
        <v>50</v>
      </c>
    </row>
    <row r="33">
      <c r="A33" s="1">
        <v>51.0</v>
      </c>
      <c r="B33" s="1">
        <v>16.0</v>
      </c>
      <c r="C33" s="1">
        <v>29.0</v>
      </c>
      <c r="D33" s="4">
        <v>15.92</v>
      </c>
      <c r="F33" s="1" t="s">
        <v>367</v>
      </c>
    </row>
    <row r="34">
      <c r="A34" s="1">
        <v>52.0</v>
      </c>
      <c r="B34" s="1">
        <v>29.0</v>
      </c>
      <c r="C34" s="1">
        <v>1.5</v>
      </c>
      <c r="D34" s="4">
        <v>10.19</v>
      </c>
      <c r="F34" s="1" t="s">
        <v>367</v>
      </c>
    </row>
    <row r="35">
      <c r="A35" s="1">
        <v>53.0</v>
      </c>
      <c r="B35" s="1">
        <v>26.0</v>
      </c>
      <c r="C35" s="1">
        <v>3.0</v>
      </c>
      <c r="D35" s="4">
        <v>21.65</v>
      </c>
      <c r="F35" s="1" t="s">
        <v>367</v>
      </c>
    </row>
    <row r="36">
      <c r="A36" s="1">
        <v>54.0</v>
      </c>
      <c r="B36" s="1">
        <v>27.5</v>
      </c>
      <c r="C36" s="1">
        <v>4.5</v>
      </c>
      <c r="D36" s="4">
        <v>14.01</v>
      </c>
      <c r="F36" s="1" t="s">
        <v>367</v>
      </c>
    </row>
    <row r="37">
      <c r="A37" s="1">
        <v>55.0</v>
      </c>
      <c r="B37" s="1">
        <v>28.5</v>
      </c>
      <c r="C37" s="1">
        <v>5.5</v>
      </c>
      <c r="D37" s="4">
        <v>10.19</v>
      </c>
      <c r="F37" s="1" t="s">
        <v>367</v>
      </c>
    </row>
    <row r="38">
      <c r="A38" s="1">
        <v>56.0</v>
      </c>
      <c r="B38" s="1">
        <v>27.5</v>
      </c>
      <c r="C38" s="1">
        <v>9.0</v>
      </c>
      <c r="D38" s="4">
        <v>14.96</v>
      </c>
      <c r="F38" s="1" t="s">
        <v>367</v>
      </c>
    </row>
    <row r="39">
      <c r="A39" s="1">
        <v>57.0</v>
      </c>
      <c r="B39" s="1">
        <v>27.5</v>
      </c>
      <c r="C39" s="1">
        <v>7.5</v>
      </c>
      <c r="F39" s="1" t="s">
        <v>50</v>
      </c>
    </row>
    <row r="40">
      <c r="A40" s="1">
        <v>58.0</v>
      </c>
      <c r="B40" s="1">
        <v>21.0</v>
      </c>
      <c r="C40" s="1">
        <v>5.0</v>
      </c>
      <c r="D40" s="4">
        <v>16.23</v>
      </c>
      <c r="F40" s="1" t="s">
        <v>367</v>
      </c>
    </row>
    <row r="41">
      <c r="A41" s="1">
        <v>59.0</v>
      </c>
      <c r="B41" s="1">
        <v>24.0</v>
      </c>
      <c r="C41" s="1">
        <v>11.5</v>
      </c>
      <c r="D41" s="4">
        <v>8.59</v>
      </c>
      <c r="F41" s="1" t="s">
        <v>367</v>
      </c>
    </row>
    <row r="42">
      <c r="A42" s="1">
        <v>60.0</v>
      </c>
      <c r="B42" s="1">
        <v>21.0</v>
      </c>
      <c r="C42" s="1">
        <v>17.0</v>
      </c>
      <c r="D42" s="4">
        <v>18.3</v>
      </c>
      <c r="F42" s="1" t="s">
        <v>367</v>
      </c>
    </row>
    <row r="43">
      <c r="A43" s="1">
        <v>61.0</v>
      </c>
      <c r="B43" s="1">
        <v>21.0</v>
      </c>
      <c r="C43" s="1">
        <v>21.0</v>
      </c>
      <c r="F43" s="1" t="s">
        <v>50</v>
      </c>
    </row>
    <row r="44">
      <c r="A44" s="1">
        <v>62.0</v>
      </c>
      <c r="B44" s="1">
        <v>21.0</v>
      </c>
      <c r="C44" s="1">
        <v>28.0</v>
      </c>
      <c r="D44" s="4">
        <v>12.41</v>
      </c>
      <c r="F44" s="1" t="s">
        <v>367</v>
      </c>
    </row>
    <row r="45">
      <c r="A45" s="1">
        <v>63.0</v>
      </c>
      <c r="B45" s="1">
        <v>26.0</v>
      </c>
      <c r="C45" s="1">
        <v>25.0</v>
      </c>
      <c r="D45" s="4">
        <v>43.93</v>
      </c>
      <c r="F45" s="1" t="s">
        <v>367</v>
      </c>
    </row>
    <row r="46">
      <c r="A46" s="1">
        <v>64.0</v>
      </c>
      <c r="B46" s="1">
        <v>28.5</v>
      </c>
      <c r="C46" s="1">
        <v>24.5</v>
      </c>
      <c r="D46" s="4">
        <v>37.4</v>
      </c>
      <c r="F46" s="1" t="s">
        <v>367</v>
      </c>
    </row>
    <row r="47">
      <c r="A47" s="1">
        <v>65.0</v>
      </c>
      <c r="B47" s="1">
        <v>26.5</v>
      </c>
      <c r="C47" s="1">
        <v>20.5</v>
      </c>
      <c r="D47" s="4">
        <v>15.6</v>
      </c>
      <c r="F47" s="1" t="s">
        <v>367</v>
      </c>
    </row>
    <row r="48">
      <c r="A48" s="1">
        <v>66.0</v>
      </c>
      <c r="B48" s="1">
        <v>29.0</v>
      </c>
      <c r="C48" s="1">
        <v>17.0</v>
      </c>
      <c r="F48" s="1" t="s">
        <v>50</v>
      </c>
    </row>
    <row r="49">
      <c r="A49" s="1">
        <v>67.0</v>
      </c>
      <c r="B49" s="1">
        <v>26.0</v>
      </c>
      <c r="C49" s="1">
        <v>16.5</v>
      </c>
      <c r="D49" s="4">
        <v>15.92</v>
      </c>
      <c r="F49" s="1" t="s">
        <v>367</v>
      </c>
    </row>
    <row r="50">
      <c r="A50" s="1">
        <v>68.0</v>
      </c>
      <c r="B50" s="1">
        <v>27.5</v>
      </c>
      <c r="C50" s="1">
        <v>14.5</v>
      </c>
      <c r="F50" s="1" t="s">
        <v>367</v>
      </c>
    </row>
    <row r="51">
      <c r="A51" s="1">
        <v>87.0</v>
      </c>
      <c r="C51" s="3"/>
      <c r="D51" s="4">
        <v>11.14</v>
      </c>
      <c r="F51" s="1" t="s">
        <v>367</v>
      </c>
    </row>
    <row r="52">
      <c r="A52" s="1">
        <v>88.0</v>
      </c>
      <c r="C52" s="3"/>
      <c r="F52" s="1" t="s">
        <v>367</v>
      </c>
    </row>
    <row r="53">
      <c r="A53" s="1">
        <v>90.0</v>
      </c>
      <c r="C53" s="3"/>
      <c r="D53" s="4">
        <v>10.19</v>
      </c>
      <c r="F53" s="1" t="s">
        <v>367</v>
      </c>
    </row>
    <row r="54">
      <c r="A54" s="1">
        <v>91.0</v>
      </c>
      <c r="C54" s="3"/>
      <c r="F54" s="1" t="s">
        <v>367</v>
      </c>
    </row>
    <row r="55">
      <c r="A55" s="1">
        <v>102.0</v>
      </c>
      <c r="C55" s="3"/>
      <c r="D55" s="4">
        <v>12.1</v>
      </c>
      <c r="F55" s="1" t="s">
        <v>367</v>
      </c>
    </row>
    <row r="56">
      <c r="A56" s="1">
        <v>103.0</v>
      </c>
      <c r="C56" s="3"/>
      <c r="D56" s="4">
        <v>10.5</v>
      </c>
      <c r="F56" s="1" t="s">
        <v>367</v>
      </c>
    </row>
    <row r="57">
      <c r="A57" s="1">
        <v>104.0</v>
      </c>
      <c r="C57" s="3"/>
      <c r="D57" s="4">
        <v>9.39</v>
      </c>
      <c r="F57" s="1" t="s">
        <v>367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 customWidth="1" min="3" max="3" width="36.63"/>
  </cols>
  <sheetData>
    <row r="1">
      <c r="A1" s="1" t="s">
        <v>368</v>
      </c>
      <c r="B1" s="1" t="s">
        <v>369</v>
      </c>
      <c r="C1" s="1" t="s">
        <v>370</v>
      </c>
    </row>
    <row r="2">
      <c r="A2" s="4" t="s">
        <v>371</v>
      </c>
      <c r="B2" s="1" t="s">
        <v>372</v>
      </c>
      <c r="C2" s="1">
        <v>1.0</v>
      </c>
    </row>
    <row r="3">
      <c r="A3" s="4" t="s">
        <v>371</v>
      </c>
      <c r="B3" s="1" t="s">
        <v>102</v>
      </c>
      <c r="C3" s="1">
        <v>2.0</v>
      </c>
    </row>
    <row r="4">
      <c r="A4" s="4" t="s">
        <v>371</v>
      </c>
      <c r="B4" s="1" t="s">
        <v>70</v>
      </c>
      <c r="C4" s="1">
        <v>2.0</v>
      </c>
    </row>
    <row r="5">
      <c r="A5" s="4" t="s">
        <v>371</v>
      </c>
      <c r="B5" s="1" t="s">
        <v>373</v>
      </c>
      <c r="C5" s="1">
        <v>1.0</v>
      </c>
    </row>
    <row r="6">
      <c r="A6" s="4" t="s">
        <v>371</v>
      </c>
      <c r="B6" s="1" t="s">
        <v>374</v>
      </c>
      <c r="C6" s="1">
        <v>1.0</v>
      </c>
    </row>
    <row r="7">
      <c r="A7" s="4" t="s">
        <v>371</v>
      </c>
      <c r="B7" s="1" t="s">
        <v>375</v>
      </c>
      <c r="C7" s="1">
        <v>4.0</v>
      </c>
    </row>
    <row r="8">
      <c r="A8" s="4" t="s">
        <v>371</v>
      </c>
      <c r="B8" s="1" t="s">
        <v>376</v>
      </c>
      <c r="C8" s="1">
        <v>4.0</v>
      </c>
    </row>
    <row r="9">
      <c r="A9" s="4" t="s">
        <v>371</v>
      </c>
      <c r="B9" s="1" t="s">
        <v>159</v>
      </c>
      <c r="C9" s="1">
        <v>1.0</v>
      </c>
    </row>
    <row r="10">
      <c r="A10" s="4" t="s">
        <v>377</v>
      </c>
      <c r="B10" s="1" t="s">
        <v>378</v>
      </c>
      <c r="C10" s="1">
        <v>2.0</v>
      </c>
    </row>
    <row r="11">
      <c r="A11" s="4" t="s">
        <v>377</v>
      </c>
      <c r="B11" s="1" t="s">
        <v>379</v>
      </c>
      <c r="C11" s="1">
        <v>1.0</v>
      </c>
    </row>
    <row r="12">
      <c r="A12" s="4" t="s">
        <v>377</v>
      </c>
      <c r="B12" s="1" t="s">
        <v>376</v>
      </c>
      <c r="C12" s="1">
        <v>4.0</v>
      </c>
    </row>
    <row r="13">
      <c r="A13" s="4" t="s">
        <v>377</v>
      </c>
      <c r="B13" s="1" t="s">
        <v>18</v>
      </c>
      <c r="C13" s="1">
        <v>1.0</v>
      </c>
    </row>
    <row r="14">
      <c r="A14" s="4" t="s">
        <v>377</v>
      </c>
      <c r="B14" s="1" t="s">
        <v>374</v>
      </c>
      <c r="C14" s="1">
        <v>3.0</v>
      </c>
    </row>
    <row r="15">
      <c r="A15" s="4" t="s">
        <v>377</v>
      </c>
      <c r="B15" s="1" t="s">
        <v>70</v>
      </c>
      <c r="C15" s="1">
        <v>2.0</v>
      </c>
    </row>
    <row r="16">
      <c r="A16" s="4" t="s">
        <v>380</v>
      </c>
      <c r="B16" s="1" t="s">
        <v>102</v>
      </c>
      <c r="C16" s="1">
        <v>8.0</v>
      </c>
    </row>
    <row r="17">
      <c r="A17" s="4" t="s">
        <v>380</v>
      </c>
      <c r="B17" s="1" t="s">
        <v>70</v>
      </c>
      <c r="C17" s="1">
        <v>2.0</v>
      </c>
    </row>
    <row r="18">
      <c r="A18" s="4" t="s">
        <v>380</v>
      </c>
      <c r="B18" s="1" t="s">
        <v>381</v>
      </c>
      <c r="C18" s="1">
        <v>2.0</v>
      </c>
    </row>
    <row r="19">
      <c r="A19" s="4" t="s">
        <v>380</v>
      </c>
      <c r="B19" s="1" t="s">
        <v>78</v>
      </c>
      <c r="C19" s="1">
        <v>1.0</v>
      </c>
    </row>
    <row r="20">
      <c r="A20" s="4" t="s">
        <v>380</v>
      </c>
      <c r="B20" s="1" t="s">
        <v>378</v>
      </c>
      <c r="C20" s="1">
        <v>1.0</v>
      </c>
    </row>
    <row r="21">
      <c r="A21" s="4" t="s">
        <v>380</v>
      </c>
      <c r="B21" s="1" t="s">
        <v>159</v>
      </c>
      <c r="C21" s="1">
        <v>1.0</v>
      </c>
    </row>
    <row r="22">
      <c r="A22" s="4" t="s">
        <v>380</v>
      </c>
      <c r="B22" s="1" t="s">
        <v>382</v>
      </c>
      <c r="C22" s="1">
        <v>1.0</v>
      </c>
    </row>
    <row r="23">
      <c r="A23" s="4" t="s">
        <v>380</v>
      </c>
      <c r="B23" s="1" t="s">
        <v>383</v>
      </c>
      <c r="C23" s="1">
        <v>1.0</v>
      </c>
    </row>
    <row r="24">
      <c r="A24" s="4" t="s">
        <v>380</v>
      </c>
      <c r="B24" s="1" t="s">
        <v>375</v>
      </c>
      <c r="C24" s="1">
        <v>2.0</v>
      </c>
    </row>
    <row r="25">
      <c r="A25" s="4" t="s">
        <v>380</v>
      </c>
      <c r="B25" s="1" t="s">
        <v>384</v>
      </c>
      <c r="C25" s="1">
        <v>1.0</v>
      </c>
      <c r="D25" s="1" t="s">
        <v>385</v>
      </c>
    </row>
    <row r="26">
      <c r="A26" s="4" t="s">
        <v>386</v>
      </c>
      <c r="B26" s="1" t="s">
        <v>70</v>
      </c>
      <c r="C26" s="1">
        <v>1.0</v>
      </c>
    </row>
    <row r="27">
      <c r="A27" s="4" t="s">
        <v>386</v>
      </c>
      <c r="B27" s="1" t="s">
        <v>159</v>
      </c>
      <c r="C27" s="1">
        <v>1.0</v>
      </c>
    </row>
    <row r="28">
      <c r="A28" s="4" t="s">
        <v>386</v>
      </c>
      <c r="B28" s="1" t="s">
        <v>45</v>
      </c>
      <c r="C28" s="1">
        <v>7.0</v>
      </c>
    </row>
    <row r="29">
      <c r="A29" s="4" t="s">
        <v>386</v>
      </c>
      <c r="B29" s="1" t="s">
        <v>376</v>
      </c>
      <c r="C29" s="1">
        <v>2.0</v>
      </c>
    </row>
    <row r="30">
      <c r="A30" s="4" t="s">
        <v>386</v>
      </c>
      <c r="B30" s="1" t="s">
        <v>375</v>
      </c>
      <c r="C30" s="1">
        <v>1.0</v>
      </c>
    </row>
    <row r="31">
      <c r="A31" s="4" t="s">
        <v>386</v>
      </c>
      <c r="B31" s="1" t="s">
        <v>102</v>
      </c>
      <c r="C31" s="1">
        <v>1.0</v>
      </c>
    </row>
    <row r="32">
      <c r="A32" s="4" t="s">
        <v>386</v>
      </c>
      <c r="B32" s="1" t="s">
        <v>387</v>
      </c>
      <c r="C32" s="1">
        <v>13.8</v>
      </c>
    </row>
    <row r="35">
      <c r="A35" s="68" t="s">
        <v>388</v>
      </c>
      <c r="B35" s="68" t="s">
        <v>25</v>
      </c>
      <c r="C35" s="68" t="s">
        <v>389</v>
      </c>
      <c r="D35" s="68" t="s">
        <v>390</v>
      </c>
      <c r="E35" s="68" t="s">
        <v>391</v>
      </c>
      <c r="F35" s="68"/>
      <c r="G35" s="68" t="s">
        <v>9</v>
      </c>
    </row>
    <row r="36">
      <c r="A36" s="68" t="s">
        <v>380</v>
      </c>
      <c r="B36" s="68"/>
      <c r="C36" s="68"/>
      <c r="D36" s="69">
        <v>45.0</v>
      </c>
      <c r="E36" s="69">
        <v>2.0250211E7</v>
      </c>
      <c r="F36" s="68"/>
      <c r="G36" s="68"/>
    </row>
    <row r="37">
      <c r="A37" s="68" t="s">
        <v>380</v>
      </c>
      <c r="B37" s="68" t="s">
        <v>102</v>
      </c>
      <c r="C37" s="69">
        <v>9.0</v>
      </c>
      <c r="D37" s="68"/>
      <c r="E37" s="69">
        <v>2.0250211E7</v>
      </c>
      <c r="F37" s="68"/>
      <c r="G37" s="68" t="s">
        <v>392</v>
      </c>
    </row>
    <row r="38">
      <c r="A38" s="68" t="s">
        <v>380</v>
      </c>
      <c r="B38" s="68" t="s">
        <v>393</v>
      </c>
      <c r="C38" s="69">
        <v>2.0</v>
      </c>
      <c r="D38" s="68"/>
      <c r="E38" s="69">
        <v>2.0250211E7</v>
      </c>
      <c r="F38" s="70" t="s">
        <v>394</v>
      </c>
      <c r="G38" s="71" t="s">
        <v>395</v>
      </c>
    </row>
    <row r="39">
      <c r="A39" s="68" t="s">
        <v>380</v>
      </c>
      <c r="B39" s="68" t="s">
        <v>376</v>
      </c>
      <c r="C39" s="69">
        <v>3.0</v>
      </c>
      <c r="D39" s="68"/>
      <c r="E39" s="69">
        <v>2.0250211E7</v>
      </c>
      <c r="F39" s="68"/>
      <c r="G39" s="68" t="s">
        <v>396</v>
      </c>
    </row>
    <row r="40">
      <c r="A40" s="68" t="s">
        <v>380</v>
      </c>
      <c r="B40" s="68" t="s">
        <v>397</v>
      </c>
      <c r="C40" s="69">
        <v>1.0</v>
      </c>
      <c r="D40" s="68"/>
      <c r="E40" s="69">
        <v>2.0250211E7</v>
      </c>
      <c r="F40" s="72" t="s">
        <v>398</v>
      </c>
      <c r="G40" s="71" t="s">
        <v>399</v>
      </c>
    </row>
    <row r="41">
      <c r="A41" s="68" t="s">
        <v>380</v>
      </c>
      <c r="B41" s="68" t="s">
        <v>400</v>
      </c>
      <c r="C41" s="69">
        <v>3.0</v>
      </c>
      <c r="D41" s="68"/>
      <c r="E41" s="69">
        <v>2.0250211E7</v>
      </c>
      <c r="F41" s="72" t="s">
        <v>401</v>
      </c>
      <c r="G41" s="71" t="s">
        <v>402</v>
      </c>
    </row>
    <row r="42">
      <c r="A42" s="68" t="s">
        <v>380</v>
      </c>
      <c r="B42" s="73" t="s">
        <v>403</v>
      </c>
      <c r="C42" s="69">
        <v>1.0</v>
      </c>
      <c r="D42" s="68"/>
      <c r="E42" s="69">
        <v>2.0250211E7</v>
      </c>
      <c r="F42" s="72" t="s">
        <v>404</v>
      </c>
      <c r="G42" s="71" t="s">
        <v>405</v>
      </c>
    </row>
    <row r="43">
      <c r="A43" s="68" t="s">
        <v>380</v>
      </c>
      <c r="B43" s="68" t="s">
        <v>375</v>
      </c>
      <c r="C43" s="69">
        <v>2.0</v>
      </c>
      <c r="D43" s="68"/>
      <c r="E43" s="69">
        <v>2.0250211E7</v>
      </c>
      <c r="F43" s="72" t="s">
        <v>406</v>
      </c>
      <c r="G43" s="71" t="s">
        <v>407</v>
      </c>
    </row>
    <row r="44">
      <c r="A44" s="68" t="s">
        <v>380</v>
      </c>
      <c r="B44" s="68" t="s">
        <v>382</v>
      </c>
      <c r="C44" s="69">
        <v>1.0</v>
      </c>
      <c r="D44" s="68"/>
      <c r="E44" s="69">
        <v>2.0250211E7</v>
      </c>
      <c r="F44" s="72" t="s">
        <v>408</v>
      </c>
      <c r="G44" s="71" t="s">
        <v>409</v>
      </c>
    </row>
    <row r="45">
      <c r="A45" s="68" t="s">
        <v>380</v>
      </c>
      <c r="B45" s="68" t="s">
        <v>410</v>
      </c>
      <c r="C45" s="69">
        <v>1.0</v>
      </c>
      <c r="D45" s="68"/>
      <c r="E45" s="69">
        <v>2.0250211E7</v>
      </c>
      <c r="F45" s="72" t="s">
        <v>411</v>
      </c>
      <c r="G45" s="71" t="s">
        <v>412</v>
      </c>
    </row>
    <row r="46">
      <c r="A46" s="68" t="s">
        <v>380</v>
      </c>
      <c r="B46" s="68" t="s">
        <v>413</v>
      </c>
      <c r="C46" s="69">
        <v>1.0</v>
      </c>
      <c r="D46" s="68"/>
      <c r="E46" s="69">
        <v>2.0250211E7</v>
      </c>
      <c r="F46" s="72" t="s">
        <v>414</v>
      </c>
      <c r="G46" s="71" t="s">
        <v>415</v>
      </c>
    </row>
    <row r="47">
      <c r="A47" s="68" t="s">
        <v>380</v>
      </c>
      <c r="B47" s="68" t="s">
        <v>397</v>
      </c>
      <c r="C47" s="69">
        <v>1.0</v>
      </c>
      <c r="D47" s="68"/>
      <c r="E47" s="69">
        <v>2.0250211E7</v>
      </c>
      <c r="F47" s="68"/>
      <c r="G47" s="68" t="s">
        <v>416</v>
      </c>
    </row>
    <row r="48">
      <c r="A48" s="68" t="s">
        <v>380</v>
      </c>
      <c r="B48" s="73" t="s">
        <v>417</v>
      </c>
      <c r="C48" s="69">
        <v>3.0</v>
      </c>
      <c r="D48" s="68"/>
      <c r="E48" s="69">
        <v>2.0250211E7</v>
      </c>
      <c r="F48" s="72" t="s">
        <v>418</v>
      </c>
      <c r="G48" s="71" t="s">
        <v>419</v>
      </c>
    </row>
    <row r="49">
      <c r="A49" s="68" t="s">
        <v>371</v>
      </c>
      <c r="B49" s="68" t="s">
        <v>400</v>
      </c>
      <c r="C49" s="69">
        <v>2.0</v>
      </c>
      <c r="D49" s="68"/>
      <c r="E49" s="69">
        <v>2.0250211E7</v>
      </c>
      <c r="F49" s="68"/>
      <c r="G49" s="68"/>
    </row>
    <row r="50">
      <c r="A50" s="68" t="s">
        <v>371</v>
      </c>
      <c r="B50" s="68" t="s">
        <v>372</v>
      </c>
      <c r="C50" s="69">
        <v>3.0</v>
      </c>
      <c r="D50" s="68"/>
      <c r="E50" s="69">
        <v>2.0250211E7</v>
      </c>
      <c r="F50" s="68"/>
      <c r="G50" s="68"/>
    </row>
    <row r="51">
      <c r="A51" s="68" t="s">
        <v>371</v>
      </c>
      <c r="B51" s="68"/>
      <c r="C51" s="68"/>
      <c r="D51" s="69">
        <v>10.0</v>
      </c>
      <c r="E51" s="69">
        <v>2.0250211E7</v>
      </c>
      <c r="F51" s="68"/>
      <c r="G51" s="68"/>
    </row>
    <row r="52">
      <c r="A52" s="68" t="s">
        <v>377</v>
      </c>
      <c r="B52" s="68" t="s">
        <v>376</v>
      </c>
      <c r="C52" s="69">
        <v>6.0</v>
      </c>
      <c r="D52" s="68"/>
      <c r="E52" s="69">
        <v>2.0250211E7</v>
      </c>
      <c r="F52" s="68"/>
      <c r="G52" s="68" t="s">
        <v>396</v>
      </c>
    </row>
    <row r="53">
      <c r="A53" s="68" t="s">
        <v>377</v>
      </c>
      <c r="B53" s="68" t="s">
        <v>400</v>
      </c>
      <c r="C53" s="69">
        <v>5.0</v>
      </c>
      <c r="D53" s="68"/>
      <c r="E53" s="69">
        <v>2.0250211E7</v>
      </c>
      <c r="F53" s="68"/>
      <c r="G53" s="68" t="s">
        <v>402</v>
      </c>
    </row>
    <row r="54">
      <c r="A54" s="68" t="s">
        <v>377</v>
      </c>
      <c r="B54" s="68" t="s">
        <v>420</v>
      </c>
      <c r="C54" s="69">
        <v>1.0</v>
      </c>
      <c r="D54" s="68"/>
      <c r="E54" s="69">
        <v>2.0250211E7</v>
      </c>
      <c r="F54" s="72" t="s">
        <v>421</v>
      </c>
      <c r="G54" s="71" t="s">
        <v>422</v>
      </c>
    </row>
    <row r="55">
      <c r="A55" s="68" t="s">
        <v>377</v>
      </c>
      <c r="B55" s="68"/>
      <c r="C55" s="68"/>
      <c r="D55" s="69">
        <v>30.0</v>
      </c>
      <c r="E55" s="69">
        <v>2.0250211E7</v>
      </c>
      <c r="F55" s="68"/>
      <c r="G55" s="68"/>
    </row>
    <row r="56">
      <c r="A56" s="68" t="s">
        <v>386</v>
      </c>
      <c r="B56" s="68" t="s">
        <v>102</v>
      </c>
      <c r="C56" s="69">
        <v>3.0</v>
      </c>
      <c r="D56" s="68"/>
      <c r="E56" s="69">
        <v>2.0250211E7</v>
      </c>
      <c r="F56" s="68"/>
      <c r="G56" s="68" t="s">
        <v>392</v>
      </c>
    </row>
    <row r="57">
      <c r="A57" s="68" t="s">
        <v>386</v>
      </c>
      <c r="B57" s="68" t="s">
        <v>376</v>
      </c>
      <c r="C57" s="69">
        <v>2.0</v>
      </c>
      <c r="D57" s="68"/>
      <c r="E57" s="69">
        <v>2.0250211E7</v>
      </c>
      <c r="F57" s="68"/>
      <c r="G57" s="68" t="s">
        <v>396</v>
      </c>
    </row>
    <row r="58">
      <c r="A58" s="68" t="s">
        <v>386</v>
      </c>
      <c r="B58" s="68" t="s">
        <v>423</v>
      </c>
      <c r="C58" s="69">
        <v>4.0</v>
      </c>
      <c r="D58" s="68"/>
      <c r="E58" s="69">
        <v>2.0250211E7</v>
      </c>
      <c r="F58" s="72" t="s">
        <v>424</v>
      </c>
      <c r="G58" s="71" t="s">
        <v>425</v>
      </c>
    </row>
    <row r="59">
      <c r="A59" s="68" t="s">
        <v>386</v>
      </c>
      <c r="B59" s="68" t="s">
        <v>400</v>
      </c>
      <c r="C59" s="69">
        <v>1.0</v>
      </c>
      <c r="D59" s="68"/>
      <c r="E59" s="69">
        <v>2.0250211E7</v>
      </c>
      <c r="F59" s="72" t="s">
        <v>426</v>
      </c>
      <c r="G59" s="74" t="s">
        <v>427</v>
      </c>
    </row>
    <row r="60">
      <c r="A60" s="68" t="s">
        <v>386</v>
      </c>
      <c r="B60" s="68"/>
      <c r="C60" s="68"/>
      <c r="D60" s="69">
        <v>60.0</v>
      </c>
      <c r="E60" s="69">
        <v>2.0250211E7</v>
      </c>
      <c r="F60" s="68"/>
      <c r="G60" s="68"/>
    </row>
  </sheetData>
  <hyperlinks>
    <hyperlink r:id="rId1" ref="F38"/>
    <hyperlink r:id="rId2" ref="G38"/>
    <hyperlink r:id="rId3" ref="F40"/>
    <hyperlink r:id="rId4" ref="G40"/>
    <hyperlink r:id="rId5" ref="F41"/>
    <hyperlink r:id="rId6" ref="G41"/>
    <hyperlink r:id="rId7" ref="F42"/>
    <hyperlink r:id="rId8" ref="G42"/>
    <hyperlink r:id="rId9" ref="F43"/>
    <hyperlink r:id="rId10" ref="G43"/>
    <hyperlink r:id="rId11" ref="F44"/>
    <hyperlink r:id="rId12" ref="G44"/>
    <hyperlink r:id="rId13" ref="F45"/>
    <hyperlink r:id="rId14" ref="G45"/>
    <hyperlink r:id="rId15" ref="F46"/>
    <hyperlink r:id="rId16" ref="G46"/>
    <hyperlink r:id="rId17" ref="F48"/>
    <hyperlink r:id="rId18" ref="G48"/>
    <hyperlink r:id="rId19" ref="F54"/>
    <hyperlink r:id="rId20" ref="G54"/>
    <hyperlink r:id="rId21" ref="F58"/>
    <hyperlink r:id="rId22" ref="G58"/>
    <hyperlink r:id="rId23" ref="F59"/>
    <hyperlink r:id="rId24" ref="G59"/>
  </hyperlin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7.5"/>
    <col customWidth="1" min="3" max="6" width="13.25"/>
  </cols>
  <sheetData>
    <row r="1">
      <c r="A1" s="1" t="s">
        <v>362</v>
      </c>
      <c r="B1" s="1" t="s">
        <v>363</v>
      </c>
      <c r="C1" s="1" t="s">
        <v>364</v>
      </c>
      <c r="D1" s="1" t="s">
        <v>365</v>
      </c>
      <c r="E1" s="1" t="s">
        <v>2</v>
      </c>
      <c r="F1" s="1" t="s">
        <v>366</v>
      </c>
      <c r="G1" s="1" t="s">
        <v>428</v>
      </c>
      <c r="H1" s="1" t="s">
        <v>429</v>
      </c>
    </row>
    <row r="2">
      <c r="A2" s="1">
        <v>1.0</v>
      </c>
      <c r="B2" s="1">
        <v>5.0</v>
      </c>
      <c r="C2" s="1">
        <v>12.0</v>
      </c>
      <c r="D2" s="1">
        <v>67.16</v>
      </c>
      <c r="E2" s="1" t="s">
        <v>190</v>
      </c>
      <c r="F2" s="1" t="s">
        <v>367</v>
      </c>
      <c r="G2" s="1">
        <v>211.0</v>
      </c>
      <c r="H2" s="75">
        <f t="shared" ref="H2:H29" si="1">round(G2/pi(),2)</f>
        <v>67.16</v>
      </c>
    </row>
    <row r="3">
      <c r="A3" s="1">
        <v>2.0</v>
      </c>
      <c r="B3" s="1">
        <v>7.0</v>
      </c>
      <c r="C3" s="1">
        <v>13.0</v>
      </c>
      <c r="D3" s="1">
        <v>10.19</v>
      </c>
      <c r="E3" s="1" t="s">
        <v>334</v>
      </c>
      <c r="F3" s="1" t="s">
        <v>367</v>
      </c>
      <c r="G3" s="1">
        <v>32.0</v>
      </c>
      <c r="H3" s="75">
        <f t="shared" si="1"/>
        <v>10.19</v>
      </c>
    </row>
    <row r="4">
      <c r="A4" s="1">
        <v>3.0</v>
      </c>
      <c r="B4" s="1">
        <v>7.0</v>
      </c>
      <c r="C4" s="1">
        <v>20.5</v>
      </c>
      <c r="D4" s="1">
        <v>79.26</v>
      </c>
      <c r="E4" s="1" t="s">
        <v>335</v>
      </c>
      <c r="F4" s="1" t="s">
        <v>367</v>
      </c>
      <c r="G4" s="1">
        <v>249.0</v>
      </c>
      <c r="H4" s="75">
        <f t="shared" si="1"/>
        <v>79.26</v>
      </c>
    </row>
    <row r="5">
      <c r="A5" s="1">
        <v>4.0</v>
      </c>
      <c r="B5" s="1">
        <v>1.0</v>
      </c>
      <c r="C5" s="1">
        <v>24.0</v>
      </c>
      <c r="D5" s="1">
        <v>76.71</v>
      </c>
      <c r="E5" s="1" t="s">
        <v>78</v>
      </c>
      <c r="F5" s="1" t="s">
        <v>367</v>
      </c>
      <c r="G5" s="1">
        <v>241.0</v>
      </c>
      <c r="H5" s="75">
        <f t="shared" si="1"/>
        <v>76.71</v>
      </c>
    </row>
    <row r="6">
      <c r="A6" s="1">
        <v>5.0</v>
      </c>
      <c r="B6" s="1">
        <v>7.0</v>
      </c>
      <c r="C6" s="1">
        <v>25.0</v>
      </c>
      <c r="D6" s="1">
        <v>77.03</v>
      </c>
      <c r="E6" s="1" t="s">
        <v>335</v>
      </c>
      <c r="F6" s="1" t="s">
        <v>367</v>
      </c>
      <c r="G6" s="1">
        <v>242.0</v>
      </c>
      <c r="H6" s="75">
        <f t="shared" si="1"/>
        <v>77.03</v>
      </c>
    </row>
    <row r="7">
      <c r="A7" s="1">
        <v>6.0</v>
      </c>
      <c r="B7" s="1">
        <v>1.0</v>
      </c>
      <c r="C7" s="1">
        <v>26.5</v>
      </c>
      <c r="D7" s="75"/>
      <c r="E7" s="1" t="s">
        <v>335</v>
      </c>
      <c r="F7" s="1" t="s">
        <v>50</v>
      </c>
      <c r="G7" s="75"/>
      <c r="H7" s="75">
        <f t="shared" si="1"/>
        <v>0</v>
      </c>
    </row>
    <row r="8">
      <c r="A8" s="1">
        <v>7.0</v>
      </c>
      <c r="B8" s="1">
        <v>1.5</v>
      </c>
      <c r="C8" s="1">
        <v>27.5</v>
      </c>
      <c r="D8" s="75"/>
      <c r="E8" s="1" t="s">
        <v>335</v>
      </c>
      <c r="F8" s="1" t="s">
        <v>50</v>
      </c>
      <c r="G8" s="75"/>
      <c r="H8" s="75">
        <f t="shared" si="1"/>
        <v>0</v>
      </c>
    </row>
    <row r="9">
      <c r="A9" s="1">
        <v>8.0</v>
      </c>
      <c r="B9" s="1">
        <v>2.5</v>
      </c>
      <c r="C9" s="1">
        <v>26.5</v>
      </c>
      <c r="D9" s="75"/>
      <c r="E9" s="1" t="s">
        <v>335</v>
      </c>
      <c r="F9" s="1" t="s">
        <v>50</v>
      </c>
      <c r="G9" s="75"/>
      <c r="H9" s="75">
        <f t="shared" si="1"/>
        <v>0</v>
      </c>
    </row>
    <row r="10">
      <c r="A10" s="1">
        <v>9.0</v>
      </c>
      <c r="B10" s="1">
        <v>4.0</v>
      </c>
      <c r="C10" s="1">
        <v>27.5</v>
      </c>
      <c r="D10" s="75"/>
      <c r="E10" s="1" t="s">
        <v>335</v>
      </c>
      <c r="F10" s="1" t="s">
        <v>50</v>
      </c>
      <c r="G10" s="75"/>
      <c r="H10" s="75">
        <f t="shared" si="1"/>
        <v>0</v>
      </c>
    </row>
    <row r="11">
      <c r="A11" s="1">
        <v>10.0</v>
      </c>
      <c r="B11" s="1">
        <v>7.5</v>
      </c>
      <c r="C11" s="1">
        <v>27.0</v>
      </c>
      <c r="D11" s="75"/>
      <c r="E11" s="1" t="s">
        <v>335</v>
      </c>
      <c r="F11" s="1" t="s">
        <v>50</v>
      </c>
      <c r="G11" s="75"/>
      <c r="H11" s="75">
        <f t="shared" si="1"/>
        <v>0</v>
      </c>
    </row>
    <row r="12">
      <c r="A12" s="1">
        <v>11.0</v>
      </c>
      <c r="B12" s="1">
        <v>11.0</v>
      </c>
      <c r="C12" s="1">
        <v>6.5</v>
      </c>
      <c r="D12" s="75"/>
      <c r="E12" s="1" t="s">
        <v>343</v>
      </c>
      <c r="F12" s="1" t="s">
        <v>50</v>
      </c>
      <c r="G12" s="75"/>
      <c r="H12" s="75">
        <f t="shared" si="1"/>
        <v>0</v>
      </c>
    </row>
    <row r="13">
      <c r="A13" s="1">
        <v>12.0</v>
      </c>
      <c r="B13" s="1">
        <v>15.0</v>
      </c>
      <c r="C13" s="1">
        <v>7.0</v>
      </c>
      <c r="D13" s="75"/>
      <c r="E13" s="1" t="s">
        <v>335</v>
      </c>
      <c r="F13" s="1" t="s">
        <v>50</v>
      </c>
      <c r="G13" s="75"/>
      <c r="H13" s="75">
        <f t="shared" si="1"/>
        <v>0</v>
      </c>
    </row>
    <row r="14">
      <c r="A14" s="1">
        <v>13.0</v>
      </c>
      <c r="B14" s="1">
        <v>19.0</v>
      </c>
      <c r="C14" s="1">
        <v>6.5</v>
      </c>
      <c r="D14" s="1">
        <v>18.62</v>
      </c>
      <c r="E14" s="1" t="s">
        <v>14</v>
      </c>
      <c r="F14" s="1" t="s">
        <v>367</v>
      </c>
      <c r="G14" s="1">
        <v>58.5</v>
      </c>
      <c r="H14" s="75">
        <f t="shared" si="1"/>
        <v>18.62</v>
      </c>
    </row>
    <row r="15">
      <c r="A15" s="1">
        <v>14.0</v>
      </c>
      <c r="B15" s="1">
        <v>13.5</v>
      </c>
      <c r="C15" s="1">
        <v>13.0</v>
      </c>
      <c r="D15" s="1">
        <v>80.21</v>
      </c>
      <c r="E15" s="1" t="s">
        <v>348</v>
      </c>
      <c r="F15" s="1" t="s">
        <v>367</v>
      </c>
      <c r="G15" s="1">
        <v>252.0</v>
      </c>
      <c r="H15" s="75">
        <f t="shared" si="1"/>
        <v>80.21</v>
      </c>
    </row>
    <row r="16">
      <c r="A16" s="1">
        <v>15.0</v>
      </c>
      <c r="B16" s="1">
        <v>15.0</v>
      </c>
      <c r="C16" s="1">
        <v>14.0</v>
      </c>
      <c r="D16" s="1">
        <v>14.48</v>
      </c>
      <c r="E16" s="1" t="s">
        <v>334</v>
      </c>
      <c r="F16" s="1" t="s">
        <v>367</v>
      </c>
      <c r="G16" s="1">
        <v>45.5</v>
      </c>
      <c r="H16" s="75">
        <f t="shared" si="1"/>
        <v>14.48</v>
      </c>
    </row>
    <row r="17">
      <c r="A17" s="1">
        <v>16.0</v>
      </c>
      <c r="B17" s="1">
        <v>13.0</v>
      </c>
      <c r="C17" s="1">
        <v>15.5</v>
      </c>
      <c r="D17" s="75"/>
      <c r="E17" s="1" t="s">
        <v>352</v>
      </c>
      <c r="F17" s="1" t="s">
        <v>50</v>
      </c>
      <c r="G17" s="75"/>
      <c r="H17" s="75">
        <f t="shared" si="1"/>
        <v>0</v>
      </c>
    </row>
    <row r="18">
      <c r="A18" s="1">
        <v>17.0</v>
      </c>
      <c r="B18" s="1">
        <v>12.0</v>
      </c>
      <c r="C18" s="1">
        <v>25.5</v>
      </c>
      <c r="D18" s="1">
        <v>318.31</v>
      </c>
      <c r="E18" s="1" t="s">
        <v>354</v>
      </c>
      <c r="F18" s="1" t="s">
        <v>367</v>
      </c>
      <c r="G18" s="1">
        <v>1000.0</v>
      </c>
      <c r="H18" s="75">
        <f t="shared" si="1"/>
        <v>318.31</v>
      </c>
    </row>
    <row r="19">
      <c r="A19" s="1">
        <v>18.0</v>
      </c>
      <c r="B19" s="1">
        <v>12.0</v>
      </c>
      <c r="C19" s="1">
        <v>14.0</v>
      </c>
      <c r="D19" s="1">
        <v>18.14</v>
      </c>
      <c r="E19" s="1" t="s">
        <v>14</v>
      </c>
      <c r="F19" s="1" t="s">
        <v>367</v>
      </c>
      <c r="G19" s="1">
        <v>57.0</v>
      </c>
      <c r="H19" s="75">
        <f t="shared" si="1"/>
        <v>18.14</v>
      </c>
    </row>
    <row r="20">
      <c r="A20" s="1">
        <v>19.0</v>
      </c>
      <c r="B20" s="1">
        <v>21.0</v>
      </c>
      <c r="C20" s="1">
        <v>10.0</v>
      </c>
      <c r="D20" s="1">
        <v>35.65</v>
      </c>
      <c r="E20" s="1" t="s">
        <v>356</v>
      </c>
      <c r="F20" s="1" t="s">
        <v>367</v>
      </c>
      <c r="G20" s="1">
        <v>112.0</v>
      </c>
      <c r="H20" s="75">
        <f t="shared" si="1"/>
        <v>35.65</v>
      </c>
    </row>
    <row r="21">
      <c r="A21" s="1">
        <v>89.0</v>
      </c>
      <c r="B21" s="1">
        <v>2.5</v>
      </c>
      <c r="C21" s="1">
        <v>28.5</v>
      </c>
      <c r="D21" s="76"/>
      <c r="E21" s="1" t="s">
        <v>335</v>
      </c>
      <c r="F21" s="1" t="s">
        <v>50</v>
      </c>
      <c r="H21" s="76">
        <f t="shared" si="1"/>
        <v>0</v>
      </c>
    </row>
    <row r="22">
      <c r="A22" s="1">
        <v>301.0</v>
      </c>
      <c r="B22" s="1">
        <v>4.5</v>
      </c>
      <c r="C22" s="1">
        <v>9.0</v>
      </c>
      <c r="D22" s="1">
        <v>11.97</v>
      </c>
      <c r="E22" s="1" t="s">
        <v>430</v>
      </c>
      <c r="F22" s="1" t="s">
        <v>367</v>
      </c>
      <c r="G22" s="1">
        <v>37.6</v>
      </c>
      <c r="H22" s="76">
        <f t="shared" si="1"/>
        <v>11.97</v>
      </c>
    </row>
    <row r="23">
      <c r="A23" s="1">
        <v>302.0</v>
      </c>
      <c r="B23" s="1">
        <v>1.0</v>
      </c>
      <c r="C23" s="1">
        <v>1.0</v>
      </c>
      <c r="D23" s="1">
        <v>14.01</v>
      </c>
      <c r="E23" s="1" t="s">
        <v>334</v>
      </c>
      <c r="F23" s="1" t="s">
        <v>367</v>
      </c>
      <c r="G23" s="1">
        <v>44.0</v>
      </c>
      <c r="H23" s="76">
        <f t="shared" si="1"/>
        <v>14.01</v>
      </c>
    </row>
    <row r="24">
      <c r="A24" s="1">
        <v>303.0</v>
      </c>
      <c r="B24" s="1">
        <v>9.0</v>
      </c>
      <c r="C24" s="1">
        <v>1.0</v>
      </c>
      <c r="D24" s="1">
        <v>12.1</v>
      </c>
      <c r="E24" s="1" t="s">
        <v>334</v>
      </c>
      <c r="F24" s="1" t="s">
        <v>367</v>
      </c>
      <c r="G24" s="1">
        <v>38.0</v>
      </c>
      <c r="H24" s="76">
        <f t="shared" si="1"/>
        <v>12.1</v>
      </c>
    </row>
    <row r="25">
      <c r="A25" s="1">
        <v>304.0</v>
      </c>
      <c r="B25" s="1">
        <v>9.0</v>
      </c>
      <c r="C25" s="1">
        <v>4.0</v>
      </c>
      <c r="D25" s="1">
        <v>11.4</v>
      </c>
      <c r="E25" s="1" t="s">
        <v>334</v>
      </c>
      <c r="F25" s="1" t="s">
        <v>367</v>
      </c>
      <c r="G25" s="1">
        <v>35.0</v>
      </c>
      <c r="H25" s="76">
        <f t="shared" si="1"/>
        <v>11.14</v>
      </c>
    </row>
    <row r="26">
      <c r="A26" s="1">
        <v>305.0</v>
      </c>
      <c r="B26" s="1">
        <v>17.0</v>
      </c>
      <c r="C26" s="1">
        <v>6.0</v>
      </c>
      <c r="D26" s="1">
        <v>13.69</v>
      </c>
      <c r="E26" s="1" t="s">
        <v>334</v>
      </c>
      <c r="F26" s="1" t="s">
        <v>367</v>
      </c>
      <c r="G26" s="1">
        <v>43.0</v>
      </c>
      <c r="H26" s="76">
        <f t="shared" si="1"/>
        <v>13.69</v>
      </c>
    </row>
    <row r="27">
      <c r="A27" s="1">
        <v>306.0</v>
      </c>
      <c r="B27" s="1">
        <v>20.0</v>
      </c>
      <c r="C27" s="1">
        <v>2.5</v>
      </c>
      <c r="D27" s="1">
        <v>13.37</v>
      </c>
      <c r="E27" s="1" t="s">
        <v>334</v>
      </c>
      <c r="F27" s="1" t="s">
        <v>367</v>
      </c>
      <c r="G27" s="1">
        <v>42.0</v>
      </c>
      <c r="H27" s="76">
        <f t="shared" si="1"/>
        <v>13.37</v>
      </c>
    </row>
    <row r="28">
      <c r="A28" s="1">
        <v>307.0</v>
      </c>
      <c r="B28" s="1">
        <v>19.5</v>
      </c>
      <c r="C28" s="1">
        <v>4.5</v>
      </c>
      <c r="D28" s="1">
        <v>10.5</v>
      </c>
      <c r="E28" s="1" t="s">
        <v>334</v>
      </c>
      <c r="F28" s="1" t="s">
        <v>367</v>
      </c>
      <c r="G28" s="1">
        <v>33.0</v>
      </c>
      <c r="H28" s="76">
        <f t="shared" si="1"/>
        <v>10.5</v>
      </c>
    </row>
    <row r="29">
      <c r="A29" s="1">
        <v>308.0</v>
      </c>
      <c r="B29" s="1">
        <v>8.0</v>
      </c>
      <c r="C29" s="1">
        <v>29.0</v>
      </c>
      <c r="D29" s="1">
        <v>13.53</v>
      </c>
      <c r="E29" s="1" t="s">
        <v>334</v>
      </c>
      <c r="F29" s="1" t="s">
        <v>367</v>
      </c>
      <c r="G29" s="1">
        <v>42.5</v>
      </c>
      <c r="H29" s="76">
        <f t="shared" si="1"/>
        <v>13.53</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75"/>
  </cols>
  <sheetData>
    <row r="1">
      <c r="A1" s="1" t="s">
        <v>368</v>
      </c>
      <c r="B1" s="1" t="s">
        <v>369</v>
      </c>
      <c r="C1" s="1" t="s">
        <v>431</v>
      </c>
      <c r="D1" s="1" t="s">
        <v>9</v>
      </c>
    </row>
    <row r="2">
      <c r="A2" s="4" t="s">
        <v>432</v>
      </c>
      <c r="B2" s="1" t="s">
        <v>433</v>
      </c>
      <c r="C2" s="1">
        <v>1.0</v>
      </c>
      <c r="D2" s="1" t="s">
        <v>385</v>
      </c>
    </row>
    <row r="3">
      <c r="A3" s="4" t="s">
        <v>432</v>
      </c>
      <c r="B3" s="1" t="s">
        <v>334</v>
      </c>
      <c r="C3" s="1">
        <v>3.0</v>
      </c>
    </row>
    <row r="4">
      <c r="A4" s="4" t="s">
        <v>432</v>
      </c>
      <c r="B4" s="1" t="s">
        <v>434</v>
      </c>
      <c r="C4" s="1">
        <v>3.0</v>
      </c>
    </row>
    <row r="5">
      <c r="A5" s="4" t="s">
        <v>432</v>
      </c>
      <c r="B5" s="1" t="s">
        <v>102</v>
      </c>
      <c r="C5" s="1">
        <v>1.0</v>
      </c>
    </row>
    <row r="6">
      <c r="A6" s="1">
        <v>0.0</v>
      </c>
      <c r="B6" s="1" t="s">
        <v>381</v>
      </c>
      <c r="C6" s="1">
        <v>4.0</v>
      </c>
    </row>
    <row r="7">
      <c r="A7" s="4" t="s">
        <v>435</v>
      </c>
      <c r="B7" s="1" t="s">
        <v>436</v>
      </c>
      <c r="C7" s="1">
        <v>4.0</v>
      </c>
    </row>
    <row r="8">
      <c r="A8" s="4" t="s">
        <v>435</v>
      </c>
      <c r="B8" s="1" t="s">
        <v>437</v>
      </c>
      <c r="C8" s="1">
        <v>1.0</v>
      </c>
    </row>
    <row r="9">
      <c r="A9" s="4" t="s">
        <v>435</v>
      </c>
      <c r="B9" s="1" t="s">
        <v>334</v>
      </c>
      <c r="C9" s="1">
        <v>1.0</v>
      </c>
    </row>
    <row r="10">
      <c r="A10" s="4" t="s">
        <v>435</v>
      </c>
      <c r="B10" s="1" t="s">
        <v>102</v>
      </c>
      <c r="C10" s="1">
        <v>1.0</v>
      </c>
    </row>
    <row r="11">
      <c r="A11" s="4" t="s">
        <v>435</v>
      </c>
      <c r="B11" s="1" t="s">
        <v>434</v>
      </c>
      <c r="C11" s="1">
        <v>3.0</v>
      </c>
    </row>
    <row r="12">
      <c r="A12" s="4" t="s">
        <v>435</v>
      </c>
      <c r="B12" s="1" t="s">
        <v>381</v>
      </c>
      <c r="C12" s="1">
        <v>3.0</v>
      </c>
    </row>
    <row r="13">
      <c r="A13" s="4" t="s">
        <v>438</v>
      </c>
      <c r="B13" s="1" t="s">
        <v>439</v>
      </c>
      <c r="C13" s="1">
        <v>1.0</v>
      </c>
    </row>
    <row r="14">
      <c r="A14" s="4" t="s">
        <v>438</v>
      </c>
      <c r="B14" s="1" t="s">
        <v>437</v>
      </c>
      <c r="C14" s="1">
        <v>1.0</v>
      </c>
    </row>
    <row r="15">
      <c r="A15" s="4" t="s">
        <v>438</v>
      </c>
      <c r="B15" s="1" t="s">
        <v>434</v>
      </c>
      <c r="C15" s="1">
        <v>2.0</v>
      </c>
    </row>
    <row r="16">
      <c r="A16" s="4" t="s">
        <v>438</v>
      </c>
      <c r="B16" s="1" t="s">
        <v>334</v>
      </c>
      <c r="C16" s="1">
        <v>1.0</v>
      </c>
    </row>
    <row r="17">
      <c r="A17" s="4" t="s">
        <v>438</v>
      </c>
      <c r="B17" s="1" t="s">
        <v>102</v>
      </c>
      <c r="C17" s="1">
        <v>1.0</v>
      </c>
    </row>
    <row r="18">
      <c r="A18" s="4" t="s">
        <v>440</v>
      </c>
      <c r="B18" s="1" t="s">
        <v>102</v>
      </c>
      <c r="C18" s="1">
        <v>22.0</v>
      </c>
    </row>
    <row r="19">
      <c r="A19" s="4" t="s">
        <v>440</v>
      </c>
      <c r="B19" s="1" t="s">
        <v>441</v>
      </c>
      <c r="C19" s="1">
        <v>1.0</v>
      </c>
    </row>
    <row r="20">
      <c r="A20" s="4" t="s">
        <v>440</v>
      </c>
      <c r="B20" s="1" t="s">
        <v>190</v>
      </c>
      <c r="C20" s="1">
        <v>1.0</v>
      </c>
    </row>
    <row r="21">
      <c r="A21" s="4" t="s">
        <v>440</v>
      </c>
      <c r="B21" s="1" t="s">
        <v>334</v>
      </c>
      <c r="C21" s="1">
        <v>1.0</v>
      </c>
    </row>
    <row r="22">
      <c r="A22" s="4" t="s">
        <v>440</v>
      </c>
      <c r="B22" s="1" t="s">
        <v>442</v>
      </c>
      <c r="C22" s="1">
        <v>1.0</v>
      </c>
    </row>
    <row r="24">
      <c r="A24" s="1" t="s">
        <v>432</v>
      </c>
      <c r="B24" s="1" t="s">
        <v>102</v>
      </c>
      <c r="C24" s="1">
        <v>1.0</v>
      </c>
      <c r="D24" s="3">
        <v>45340.0</v>
      </c>
    </row>
    <row r="25">
      <c r="A25" s="1" t="s">
        <v>432</v>
      </c>
      <c r="B25" s="1" t="s">
        <v>443</v>
      </c>
      <c r="C25" s="1">
        <v>2.0</v>
      </c>
      <c r="D25" s="3">
        <v>45340.0</v>
      </c>
    </row>
    <row r="26">
      <c r="A26" s="1" t="s">
        <v>432</v>
      </c>
      <c r="B26" s="1" t="s">
        <v>334</v>
      </c>
      <c r="C26" s="1">
        <v>5.0</v>
      </c>
      <c r="D26" s="3">
        <v>45340.0</v>
      </c>
    </row>
    <row r="27">
      <c r="A27" s="77" t="s">
        <v>435</v>
      </c>
      <c r="B27" s="1" t="s">
        <v>102</v>
      </c>
      <c r="C27" s="1">
        <v>1.0</v>
      </c>
      <c r="D27" s="3">
        <v>45340.0</v>
      </c>
    </row>
    <row r="28">
      <c r="A28" s="77" t="s">
        <v>435</v>
      </c>
      <c r="B28" s="1" t="s">
        <v>443</v>
      </c>
      <c r="C28" s="78">
        <v>0.1</v>
      </c>
      <c r="D28" s="3">
        <v>45340.0</v>
      </c>
    </row>
    <row r="29">
      <c r="A29" s="77" t="s">
        <v>435</v>
      </c>
      <c r="B29" s="1" t="s">
        <v>437</v>
      </c>
      <c r="C29" s="78">
        <v>0.5</v>
      </c>
      <c r="D29" s="3">
        <v>45340.0</v>
      </c>
    </row>
    <row r="30">
      <c r="A30" s="77" t="s">
        <v>435</v>
      </c>
      <c r="B30" s="1" t="s">
        <v>334</v>
      </c>
      <c r="C30" s="78">
        <v>0.5</v>
      </c>
      <c r="D30" s="3">
        <v>45340.0</v>
      </c>
    </row>
    <row r="31">
      <c r="A31" s="77" t="s">
        <v>438</v>
      </c>
      <c r="B31" s="1" t="s">
        <v>437</v>
      </c>
      <c r="C31" s="1">
        <v>4.0</v>
      </c>
      <c r="D31" s="3">
        <v>45340.0</v>
      </c>
    </row>
    <row r="32">
      <c r="A32" s="77" t="s">
        <v>438</v>
      </c>
      <c r="B32" s="1" t="s">
        <v>444</v>
      </c>
      <c r="C32" s="1">
        <v>1.0</v>
      </c>
      <c r="D32" s="3">
        <v>45340.0</v>
      </c>
    </row>
    <row r="33">
      <c r="A33" s="77" t="s">
        <v>438</v>
      </c>
      <c r="B33" s="1" t="s">
        <v>102</v>
      </c>
      <c r="C33" s="1">
        <v>4.0</v>
      </c>
      <c r="D33" s="3">
        <v>45340.0</v>
      </c>
    </row>
    <row r="34">
      <c r="A34" s="77" t="s">
        <v>438</v>
      </c>
      <c r="B34" s="1" t="s">
        <v>443</v>
      </c>
      <c r="C34" s="1">
        <v>2.0</v>
      </c>
      <c r="D34" s="3">
        <v>45340.0</v>
      </c>
    </row>
    <row r="35">
      <c r="A35" s="77" t="s">
        <v>438</v>
      </c>
      <c r="B35" s="1" t="s">
        <v>434</v>
      </c>
      <c r="C35" s="1">
        <v>1.0</v>
      </c>
      <c r="D35" s="3">
        <v>45340.0</v>
      </c>
    </row>
    <row r="36">
      <c r="A36" s="77" t="s">
        <v>440</v>
      </c>
      <c r="B36" s="1" t="s">
        <v>102</v>
      </c>
      <c r="C36" s="1">
        <v>2.0</v>
      </c>
      <c r="D36" s="3">
        <v>45340.0</v>
      </c>
    </row>
    <row r="37">
      <c r="A37" s="77" t="s">
        <v>440</v>
      </c>
      <c r="B37" s="1" t="s">
        <v>434</v>
      </c>
      <c r="C37" s="1">
        <v>5.0</v>
      </c>
      <c r="D37" s="3">
        <v>45340.0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3.13"/>
    <col customWidth="1" min="3" max="3" width="31.88"/>
    <col customWidth="1" min="4" max="4" width="144.75"/>
    <col customWidth="1" min="5" max="5" width="13.25"/>
    <col customWidth="1" min="9" max="9" width="14.25"/>
    <col customWidth="1" min="14" max="15" width="25.25"/>
    <col customWidth="1" min="16" max="16" width="30.88"/>
    <col customWidth="1" min="25" max="25" width="19.75"/>
  </cols>
  <sheetData>
    <row r="1">
      <c r="A1" s="1" t="s">
        <v>0</v>
      </c>
      <c r="B1" s="1" t="s">
        <v>445</v>
      </c>
      <c r="C1" s="1" t="s">
        <v>3</v>
      </c>
      <c r="D1" s="1" t="s">
        <v>1</v>
      </c>
      <c r="E1" s="1" t="s">
        <v>4</v>
      </c>
      <c r="F1" s="1" t="s">
        <v>5</v>
      </c>
      <c r="G1" s="1" t="s">
        <v>6</v>
      </c>
      <c r="H1" s="1" t="s">
        <v>7</v>
      </c>
      <c r="I1" s="1" t="s">
        <v>8</v>
      </c>
      <c r="J1" s="1" t="s">
        <v>446</v>
      </c>
      <c r="K1" s="1" t="s">
        <v>447</v>
      </c>
      <c r="L1" s="1" t="s">
        <v>448</v>
      </c>
      <c r="M1" s="1" t="s">
        <v>9</v>
      </c>
      <c r="N1" s="1" t="s">
        <v>10</v>
      </c>
      <c r="O1" s="1" t="s">
        <v>449</v>
      </c>
      <c r="P1" s="1" t="s">
        <v>3</v>
      </c>
    </row>
    <row r="2">
      <c r="A2" s="1">
        <v>69.0</v>
      </c>
      <c r="B2" s="1" t="s">
        <v>433</v>
      </c>
      <c r="C2" s="1" t="s">
        <v>450</v>
      </c>
      <c r="D2" s="1" t="s">
        <v>13</v>
      </c>
      <c r="F2" s="3">
        <v>43126.0</v>
      </c>
      <c r="G2" s="1">
        <v>8.0</v>
      </c>
      <c r="H2" s="1">
        <v>6.0</v>
      </c>
      <c r="N2" s="1" t="s">
        <v>367</v>
      </c>
      <c r="O2" s="4" t="str">
        <f>B2</f>
        <v>Mangifera indica</v>
      </c>
      <c r="P2" s="1" t="s">
        <v>450</v>
      </c>
    </row>
    <row r="3">
      <c r="A3" s="1">
        <v>69.0</v>
      </c>
      <c r="B3" s="9" t="s">
        <v>451</v>
      </c>
      <c r="C3" s="1" t="s">
        <v>450</v>
      </c>
      <c r="D3" s="1" t="s">
        <v>452</v>
      </c>
      <c r="F3" s="3">
        <v>45702.0</v>
      </c>
      <c r="G3" s="1">
        <v>9.5</v>
      </c>
      <c r="I3" s="3"/>
      <c r="N3" s="1" t="s">
        <v>367</v>
      </c>
      <c r="O3" s="1" t="s">
        <v>433</v>
      </c>
      <c r="P3" s="1" t="s">
        <v>450</v>
      </c>
      <c r="Q3" s="1" t="s">
        <v>453</v>
      </c>
      <c r="R3" s="1" t="s">
        <v>454</v>
      </c>
      <c r="S3" s="1" t="s">
        <v>455</v>
      </c>
      <c r="T3" s="1" t="s">
        <v>456</v>
      </c>
      <c r="U3" s="1" t="s">
        <v>457</v>
      </c>
      <c r="V3" s="1" t="s">
        <v>458</v>
      </c>
      <c r="X3" s="1" t="s">
        <v>25</v>
      </c>
      <c r="Y3" s="1" t="s">
        <v>459</v>
      </c>
      <c r="Z3" s="1">
        <v>16.7723191</v>
      </c>
      <c r="AA3" s="1">
        <v>-62.1944082</v>
      </c>
      <c r="AB3" s="1" t="s">
        <v>460</v>
      </c>
      <c r="AC3" s="1" t="s">
        <v>27</v>
      </c>
      <c r="AD3" s="1" t="s">
        <v>461</v>
      </c>
      <c r="AF3" s="1" t="s">
        <v>29</v>
      </c>
      <c r="AG3" s="1" t="s">
        <v>30</v>
      </c>
      <c r="AI3" s="1" t="s">
        <v>462</v>
      </c>
    </row>
    <row r="4">
      <c r="A4" s="1">
        <v>69.0</v>
      </c>
      <c r="B4" s="1"/>
      <c r="C4" s="1" t="s">
        <v>450</v>
      </c>
      <c r="D4" s="1" t="s">
        <v>17</v>
      </c>
      <c r="F4" s="3">
        <v>46063.0</v>
      </c>
      <c r="G4" s="4">
        <v>7.0</v>
      </c>
      <c r="H4" s="4">
        <v>6.37</v>
      </c>
      <c r="K4" s="1"/>
      <c r="N4" s="1" t="s">
        <v>367</v>
      </c>
      <c r="O4" s="10"/>
      <c r="P4" s="10"/>
      <c r="X4" s="1"/>
      <c r="Y4" s="1"/>
      <c r="Z4" s="1"/>
      <c r="AA4" s="1"/>
      <c r="AB4" s="1"/>
      <c r="AC4" s="1"/>
      <c r="AD4" s="1"/>
      <c r="AE4" s="1"/>
      <c r="AF4" s="1"/>
      <c r="AG4" s="1"/>
      <c r="AI4" s="1"/>
    </row>
    <row r="5">
      <c r="A5" s="1">
        <v>70.0</v>
      </c>
      <c r="B5" s="1" t="s">
        <v>433</v>
      </c>
      <c r="C5" s="1" t="s">
        <v>450</v>
      </c>
      <c r="D5" s="1" t="s">
        <v>13</v>
      </c>
      <c r="F5" s="3">
        <v>43126.0</v>
      </c>
      <c r="G5" s="1">
        <v>22.0</v>
      </c>
      <c r="N5" s="1" t="s">
        <v>367</v>
      </c>
      <c r="O5" s="4" t="str">
        <f>B5</f>
        <v>Mangifera indica</v>
      </c>
      <c r="P5" s="1" t="s">
        <v>450</v>
      </c>
    </row>
    <row r="6">
      <c r="A6" s="1">
        <v>70.0</v>
      </c>
      <c r="B6" s="9" t="s">
        <v>463</v>
      </c>
      <c r="C6" s="1" t="s">
        <v>450</v>
      </c>
      <c r="D6" s="1" t="s">
        <v>452</v>
      </c>
      <c r="F6" s="3">
        <v>45702.0</v>
      </c>
      <c r="G6" s="1">
        <v>50.7</v>
      </c>
      <c r="I6" s="3"/>
      <c r="M6" s="1" t="s">
        <v>464</v>
      </c>
      <c r="N6" s="1" t="s">
        <v>367</v>
      </c>
      <c r="O6" s="1" t="s">
        <v>433</v>
      </c>
      <c r="P6" s="1" t="s">
        <v>450</v>
      </c>
      <c r="Q6" s="1" t="s">
        <v>453</v>
      </c>
      <c r="R6" s="1" t="s">
        <v>454</v>
      </c>
      <c r="S6" s="1" t="s">
        <v>455</v>
      </c>
      <c r="T6" s="1" t="s">
        <v>456</v>
      </c>
      <c r="U6" s="1" t="s">
        <v>457</v>
      </c>
      <c r="V6" s="1" t="s">
        <v>458</v>
      </c>
      <c r="X6" s="1" t="s">
        <v>25</v>
      </c>
      <c r="Y6" s="1" t="s">
        <v>465</v>
      </c>
      <c r="Z6" s="1">
        <v>16.7722561</v>
      </c>
      <c r="AA6" s="1">
        <v>-62.194395</v>
      </c>
      <c r="AB6" s="1" t="s">
        <v>460</v>
      </c>
      <c r="AC6" s="1" t="s">
        <v>27</v>
      </c>
      <c r="AD6" s="1" t="s">
        <v>461</v>
      </c>
      <c r="AE6" s="1">
        <v>10.0</v>
      </c>
      <c r="AF6" s="1" t="s">
        <v>29</v>
      </c>
      <c r="AG6" s="1" t="s">
        <v>30</v>
      </c>
      <c r="AI6" s="1" t="s">
        <v>466</v>
      </c>
    </row>
    <row r="7">
      <c r="A7" s="1">
        <v>70.0</v>
      </c>
      <c r="B7" s="1"/>
      <c r="C7" s="1" t="s">
        <v>450</v>
      </c>
      <c r="D7" s="1" t="s">
        <v>17</v>
      </c>
      <c r="F7" s="3">
        <v>46063.0</v>
      </c>
      <c r="G7" s="4">
        <v>48.38</v>
      </c>
      <c r="J7" s="1"/>
      <c r="K7" s="1"/>
      <c r="N7" s="1" t="s">
        <v>367</v>
      </c>
      <c r="O7" s="10"/>
      <c r="P7" s="10"/>
      <c r="X7" s="1"/>
      <c r="Y7" s="1"/>
      <c r="Z7" s="1"/>
      <c r="AA7" s="1"/>
      <c r="AB7" s="1"/>
      <c r="AC7" s="1"/>
      <c r="AD7" s="1"/>
      <c r="AE7" s="1"/>
      <c r="AF7" s="1"/>
      <c r="AG7" s="1"/>
      <c r="AI7" s="1"/>
    </row>
    <row r="8">
      <c r="A8" s="1">
        <v>71.0</v>
      </c>
      <c r="B8" s="1" t="s">
        <v>335</v>
      </c>
      <c r="C8" s="1" t="s">
        <v>467</v>
      </c>
      <c r="D8" s="1" t="s">
        <v>13</v>
      </c>
      <c r="F8" s="3">
        <v>43126.0</v>
      </c>
      <c r="G8" s="1">
        <v>40.1</v>
      </c>
      <c r="M8" s="1" t="s">
        <v>468</v>
      </c>
      <c r="N8" s="1" t="s">
        <v>367</v>
      </c>
      <c r="O8" s="4" t="str">
        <f>B8</f>
        <v>Cecropia schreberiana</v>
      </c>
      <c r="P8" s="1" t="s">
        <v>467</v>
      </c>
    </row>
    <row r="9">
      <c r="A9" s="1">
        <v>71.0</v>
      </c>
      <c r="B9" s="9" t="s">
        <v>469</v>
      </c>
      <c r="C9" s="1" t="s">
        <v>467</v>
      </c>
      <c r="D9" s="1" t="s">
        <v>452</v>
      </c>
      <c r="F9" s="3">
        <v>45702.0</v>
      </c>
      <c r="G9" s="1">
        <v>44.8</v>
      </c>
      <c r="I9" s="3"/>
      <c r="M9" s="1" t="s">
        <v>470</v>
      </c>
      <c r="N9" s="1" t="s">
        <v>367</v>
      </c>
      <c r="O9" s="1" t="s">
        <v>335</v>
      </c>
      <c r="P9" s="1" t="s">
        <v>467</v>
      </c>
      <c r="Q9" s="1" t="s">
        <v>453</v>
      </c>
      <c r="R9" s="1" t="s">
        <v>454</v>
      </c>
      <c r="S9" s="1" t="s">
        <v>455</v>
      </c>
      <c r="T9" s="1" t="s">
        <v>471</v>
      </c>
      <c r="U9" s="1" t="s">
        <v>472</v>
      </c>
      <c r="V9" s="1" t="s">
        <v>473</v>
      </c>
      <c r="X9" s="1" t="s">
        <v>25</v>
      </c>
      <c r="Y9" s="1" t="s">
        <v>474</v>
      </c>
      <c r="Z9" s="1">
        <v>16.7723473</v>
      </c>
      <c r="AA9" s="1">
        <v>-62.1944682</v>
      </c>
      <c r="AB9" s="1" t="s">
        <v>460</v>
      </c>
      <c r="AC9" s="1" t="s">
        <v>27</v>
      </c>
      <c r="AD9" s="1" t="s">
        <v>461</v>
      </c>
      <c r="AE9" s="1">
        <v>10.0</v>
      </c>
      <c r="AF9" s="1" t="s">
        <v>29</v>
      </c>
      <c r="AG9" s="1" t="s">
        <v>30</v>
      </c>
      <c r="AI9" s="1" t="s">
        <v>475</v>
      </c>
    </row>
    <row r="10">
      <c r="A10" s="1">
        <v>71.0</v>
      </c>
      <c r="B10" s="1"/>
      <c r="C10" s="1" t="s">
        <v>467</v>
      </c>
      <c r="D10" s="1" t="s">
        <v>17</v>
      </c>
      <c r="F10" s="3">
        <v>46063.0</v>
      </c>
      <c r="G10" s="4">
        <v>50.61</v>
      </c>
      <c r="J10" s="1"/>
      <c r="K10" s="1"/>
      <c r="N10" s="1" t="s">
        <v>367</v>
      </c>
      <c r="O10" s="10"/>
      <c r="P10" s="10"/>
      <c r="X10" s="1"/>
      <c r="Y10" s="1"/>
      <c r="Z10" s="1"/>
      <c r="AA10" s="1"/>
      <c r="AB10" s="1"/>
      <c r="AC10" s="1"/>
      <c r="AD10" s="1"/>
      <c r="AE10" s="1"/>
      <c r="AF10" s="1"/>
      <c r="AG10" s="1"/>
      <c r="AI10" s="1"/>
    </row>
    <row r="11">
      <c r="A11" s="1">
        <v>72.0</v>
      </c>
      <c r="B11" s="1" t="s">
        <v>433</v>
      </c>
      <c r="C11" s="1" t="s">
        <v>450</v>
      </c>
      <c r="D11" s="1" t="s">
        <v>13</v>
      </c>
      <c r="F11" s="3">
        <v>43126.0</v>
      </c>
      <c r="G11" s="1">
        <v>34.7</v>
      </c>
      <c r="N11" s="1" t="s">
        <v>367</v>
      </c>
      <c r="O11" s="4" t="str">
        <f>B11</f>
        <v>Mangifera indica</v>
      </c>
      <c r="P11" s="1" t="s">
        <v>450</v>
      </c>
    </row>
    <row r="12">
      <c r="A12" s="1">
        <v>72.0</v>
      </c>
      <c r="B12" s="9" t="s">
        <v>476</v>
      </c>
      <c r="C12" s="1" t="s">
        <v>450</v>
      </c>
      <c r="D12" s="1" t="s">
        <v>452</v>
      </c>
      <c r="F12" s="3">
        <v>45702.0</v>
      </c>
      <c r="G12" s="1">
        <v>37.8</v>
      </c>
      <c r="I12" s="3"/>
      <c r="N12" s="1" t="s">
        <v>367</v>
      </c>
      <c r="O12" s="1" t="s">
        <v>433</v>
      </c>
      <c r="P12" s="1" t="s">
        <v>450</v>
      </c>
      <c r="Q12" s="1" t="s">
        <v>453</v>
      </c>
      <c r="R12" s="1" t="s">
        <v>454</v>
      </c>
      <c r="S12" s="1" t="s">
        <v>455</v>
      </c>
      <c r="T12" s="1" t="s">
        <v>456</v>
      </c>
      <c r="U12" s="1" t="s">
        <v>457</v>
      </c>
      <c r="V12" s="1" t="s">
        <v>458</v>
      </c>
      <c r="X12" s="1" t="s">
        <v>25</v>
      </c>
      <c r="Y12" s="1" t="s">
        <v>477</v>
      </c>
      <c r="Z12" s="1">
        <v>16.7723791</v>
      </c>
      <c r="AA12" s="1">
        <v>-62.1945027</v>
      </c>
      <c r="AB12" s="1" t="s">
        <v>460</v>
      </c>
      <c r="AC12" s="1" t="s">
        <v>27</v>
      </c>
      <c r="AD12" s="1" t="s">
        <v>461</v>
      </c>
      <c r="AE12" s="1">
        <v>6.0</v>
      </c>
      <c r="AF12" s="1" t="s">
        <v>29</v>
      </c>
      <c r="AG12" s="1" t="s">
        <v>30</v>
      </c>
      <c r="AI12" s="1" t="s">
        <v>478</v>
      </c>
    </row>
    <row r="13">
      <c r="A13" s="1">
        <v>72.0</v>
      </c>
      <c r="B13" s="1"/>
      <c r="C13" s="1" t="s">
        <v>450</v>
      </c>
      <c r="D13" s="1" t="s">
        <v>17</v>
      </c>
      <c r="F13" s="3">
        <v>46063.0</v>
      </c>
      <c r="G13" s="4">
        <v>37.88</v>
      </c>
      <c r="J13" s="1"/>
      <c r="K13" s="1"/>
      <c r="N13" s="1" t="s">
        <v>367</v>
      </c>
      <c r="O13" s="10"/>
      <c r="P13" s="10"/>
      <c r="X13" s="1"/>
      <c r="Y13" s="1"/>
      <c r="Z13" s="1"/>
      <c r="AA13" s="1"/>
      <c r="AB13" s="1"/>
      <c r="AC13" s="1"/>
      <c r="AD13" s="1"/>
      <c r="AE13" s="1"/>
      <c r="AF13" s="1"/>
      <c r="AG13" s="1"/>
      <c r="AI13" s="1"/>
    </row>
    <row r="14">
      <c r="A14" s="1">
        <v>73.0</v>
      </c>
      <c r="B14" s="1" t="s">
        <v>479</v>
      </c>
      <c r="C14" s="1" t="s">
        <v>480</v>
      </c>
      <c r="D14" s="1" t="s">
        <v>13</v>
      </c>
      <c r="F14" s="3">
        <v>43126.0</v>
      </c>
      <c r="G14" s="1">
        <v>27.7</v>
      </c>
      <c r="M14" s="1" t="s">
        <v>481</v>
      </c>
      <c r="N14" s="1" t="s">
        <v>367</v>
      </c>
      <c r="O14" s="4" t="str">
        <f>B14</f>
        <v>Atrocarpus altilis</v>
      </c>
      <c r="P14" s="1" t="s">
        <v>480</v>
      </c>
    </row>
    <row r="15">
      <c r="A15" s="1">
        <v>73.0</v>
      </c>
      <c r="B15" s="9" t="s">
        <v>482</v>
      </c>
      <c r="C15" s="1" t="s">
        <v>480</v>
      </c>
      <c r="D15" s="1" t="s">
        <v>452</v>
      </c>
      <c r="F15" s="3">
        <v>45702.0</v>
      </c>
      <c r="G15" s="1">
        <v>32.7</v>
      </c>
      <c r="I15" s="3"/>
      <c r="M15" s="1" t="s">
        <v>483</v>
      </c>
      <c r="N15" s="1" t="s">
        <v>367</v>
      </c>
      <c r="O15" s="1" t="s">
        <v>484</v>
      </c>
      <c r="P15" s="1" t="s">
        <v>480</v>
      </c>
      <c r="X15" s="1" t="s">
        <v>52</v>
      </c>
      <c r="Y15" s="1" t="s">
        <v>485</v>
      </c>
      <c r="Z15" s="1">
        <v>16.7724378</v>
      </c>
      <c r="AA15" s="1">
        <v>-62.1945943</v>
      </c>
      <c r="AB15" s="1" t="s">
        <v>460</v>
      </c>
      <c r="AC15" s="1" t="s">
        <v>27</v>
      </c>
      <c r="AD15" s="1" t="s">
        <v>461</v>
      </c>
      <c r="AE15" s="1">
        <v>10.0</v>
      </c>
      <c r="AF15" s="1" t="s">
        <v>29</v>
      </c>
      <c r="AG15" s="1" t="s">
        <v>30</v>
      </c>
      <c r="AI15" s="1" t="s">
        <v>486</v>
      </c>
    </row>
    <row r="16">
      <c r="A16" s="1">
        <v>73.0</v>
      </c>
      <c r="B16" s="1"/>
      <c r="C16" s="1" t="s">
        <v>480</v>
      </c>
      <c r="D16" s="1" t="s">
        <v>17</v>
      </c>
      <c r="F16" s="3">
        <v>46063.0</v>
      </c>
      <c r="G16" s="4">
        <v>35.33</v>
      </c>
      <c r="J16" s="1"/>
      <c r="K16" s="1"/>
      <c r="N16" s="1" t="s">
        <v>367</v>
      </c>
      <c r="O16" s="10"/>
      <c r="P16" s="10"/>
      <c r="X16" s="1"/>
      <c r="Y16" s="1"/>
      <c r="Z16" s="1"/>
      <c r="AA16" s="1"/>
      <c r="AB16" s="1"/>
      <c r="AC16" s="1"/>
      <c r="AD16" s="1"/>
      <c r="AE16" s="1"/>
      <c r="AF16" s="1"/>
      <c r="AG16" s="1"/>
      <c r="AI16" s="1"/>
    </row>
    <row r="17">
      <c r="A17" s="1">
        <v>74.0</v>
      </c>
      <c r="B17" s="1" t="s">
        <v>45</v>
      </c>
      <c r="C17" s="1" t="s">
        <v>487</v>
      </c>
      <c r="D17" s="1" t="s">
        <v>13</v>
      </c>
      <c r="E17" s="1" t="s">
        <v>38</v>
      </c>
      <c r="F17" s="3">
        <v>43126.0</v>
      </c>
      <c r="G17" s="1">
        <v>15.9</v>
      </c>
      <c r="M17" s="1" t="s">
        <v>488</v>
      </c>
      <c r="N17" s="1" t="s">
        <v>367</v>
      </c>
      <c r="O17" s="4" t="str">
        <f>B17</f>
        <v>cf. Guatteria caribaea</v>
      </c>
    </row>
    <row r="18">
      <c r="A18" s="1">
        <v>74.0</v>
      </c>
      <c r="B18" s="9" t="s">
        <v>489</v>
      </c>
      <c r="C18" s="1" t="s">
        <v>487</v>
      </c>
      <c r="D18" s="1" t="s">
        <v>452</v>
      </c>
      <c r="F18" s="3">
        <v>45702.0</v>
      </c>
      <c r="G18" s="1">
        <v>15.6</v>
      </c>
      <c r="I18" s="3"/>
      <c r="N18" s="1" t="s">
        <v>367</v>
      </c>
      <c r="O18" s="1" t="s">
        <v>48</v>
      </c>
      <c r="P18" s="1" t="s">
        <v>48</v>
      </c>
      <c r="X18" s="1" t="s">
        <v>52</v>
      </c>
      <c r="Y18" s="1" t="s">
        <v>490</v>
      </c>
      <c r="Z18" s="1">
        <v>16.7724186</v>
      </c>
      <c r="AA18" s="1">
        <v>-62.1945589</v>
      </c>
      <c r="AB18" s="1" t="s">
        <v>460</v>
      </c>
      <c r="AC18" s="1" t="s">
        <v>27</v>
      </c>
      <c r="AD18" s="1" t="s">
        <v>461</v>
      </c>
      <c r="AE18" s="1">
        <v>15.0</v>
      </c>
      <c r="AF18" s="1" t="s">
        <v>29</v>
      </c>
      <c r="AG18" s="1" t="s">
        <v>30</v>
      </c>
      <c r="AI18" s="1" t="s">
        <v>491</v>
      </c>
    </row>
    <row r="19">
      <c r="A19" s="1">
        <v>74.0</v>
      </c>
      <c r="B19" s="1"/>
      <c r="C19" s="1" t="s">
        <v>487</v>
      </c>
      <c r="D19" s="1" t="s">
        <v>17</v>
      </c>
      <c r="F19" s="3">
        <v>46063.0</v>
      </c>
      <c r="G19" s="4">
        <v>15.76</v>
      </c>
      <c r="J19" s="1"/>
      <c r="K19" s="1"/>
      <c r="N19" s="1" t="s">
        <v>367</v>
      </c>
      <c r="O19" s="10"/>
      <c r="P19" s="10"/>
      <c r="X19" s="1"/>
      <c r="Y19" s="1"/>
      <c r="Z19" s="1"/>
      <c r="AA19" s="1"/>
      <c r="AB19" s="1"/>
      <c r="AC19" s="1"/>
      <c r="AD19" s="1"/>
      <c r="AE19" s="1"/>
      <c r="AF19" s="1"/>
      <c r="AG19" s="1"/>
      <c r="AI19" s="1"/>
    </row>
    <row r="20">
      <c r="A20" s="1">
        <v>75.0</v>
      </c>
      <c r="B20" s="1" t="s">
        <v>492</v>
      </c>
      <c r="C20" s="1" t="s">
        <v>493</v>
      </c>
      <c r="D20" s="1" t="s">
        <v>13</v>
      </c>
      <c r="F20" s="3">
        <v>43126.0</v>
      </c>
      <c r="G20" s="1">
        <v>7.0</v>
      </c>
      <c r="H20" s="1">
        <v>4.8</v>
      </c>
      <c r="I20" s="1">
        <v>4.1</v>
      </c>
      <c r="J20" s="1">
        <v>3.8</v>
      </c>
      <c r="N20" s="1" t="s">
        <v>367</v>
      </c>
      <c r="O20" s="4" t="str">
        <f>B20</f>
        <v>Crescentia cujete</v>
      </c>
      <c r="P20" s="1" t="s">
        <v>493</v>
      </c>
    </row>
    <row r="21">
      <c r="A21" s="1">
        <v>75.0</v>
      </c>
      <c r="B21" s="9" t="s">
        <v>494</v>
      </c>
      <c r="C21" s="1" t="s">
        <v>493</v>
      </c>
      <c r="D21" s="1" t="s">
        <v>452</v>
      </c>
      <c r="F21" s="3">
        <v>45702.0</v>
      </c>
      <c r="G21" s="1">
        <v>7.1</v>
      </c>
      <c r="H21" s="1">
        <v>4.9</v>
      </c>
      <c r="I21" s="1">
        <v>4.0</v>
      </c>
      <c r="J21" s="1">
        <v>3.9</v>
      </c>
      <c r="N21" s="1" t="s">
        <v>367</v>
      </c>
      <c r="O21" s="1" t="s">
        <v>492</v>
      </c>
      <c r="P21" s="1" t="s">
        <v>493</v>
      </c>
      <c r="X21" s="1" t="s">
        <v>52</v>
      </c>
      <c r="Y21" s="1" t="s">
        <v>495</v>
      </c>
      <c r="Z21" s="1">
        <v>16.7724235</v>
      </c>
      <c r="AA21" s="1">
        <v>-62.194519</v>
      </c>
      <c r="AB21" s="1" t="s">
        <v>460</v>
      </c>
      <c r="AC21" s="1" t="s">
        <v>27</v>
      </c>
      <c r="AD21" s="1" t="s">
        <v>461</v>
      </c>
      <c r="AE21" s="1">
        <v>10.0</v>
      </c>
      <c r="AF21" s="1" t="s">
        <v>29</v>
      </c>
      <c r="AG21" s="1" t="s">
        <v>30</v>
      </c>
      <c r="AI21" s="1" t="s">
        <v>496</v>
      </c>
    </row>
    <row r="22">
      <c r="A22" s="1">
        <v>75.0</v>
      </c>
      <c r="B22" s="1"/>
      <c r="C22" s="1" t="s">
        <v>493</v>
      </c>
      <c r="D22" s="1" t="s">
        <v>17</v>
      </c>
      <c r="F22" s="3">
        <v>46063.0</v>
      </c>
      <c r="G22" s="4">
        <v>7.64</v>
      </c>
      <c r="H22" s="4">
        <v>5.41</v>
      </c>
      <c r="I22" s="4">
        <f t="shared" ref="I22:J22" si="1">round(13/pi(),2)</f>
        <v>4.14</v>
      </c>
      <c r="J22" s="4">
        <f t="shared" si="1"/>
        <v>4.14</v>
      </c>
      <c r="K22" s="1"/>
      <c r="N22" s="1" t="s">
        <v>367</v>
      </c>
      <c r="O22" s="10"/>
      <c r="P22" s="10"/>
      <c r="X22" s="1"/>
      <c r="Y22" s="1"/>
      <c r="Z22" s="1"/>
      <c r="AA22" s="1"/>
      <c r="AB22" s="1"/>
      <c r="AC22" s="1"/>
      <c r="AD22" s="1"/>
      <c r="AE22" s="1"/>
      <c r="AF22" s="1"/>
      <c r="AG22" s="1"/>
      <c r="AI22" s="1"/>
    </row>
    <row r="23">
      <c r="A23" s="1">
        <v>76.0</v>
      </c>
      <c r="B23" s="1" t="s">
        <v>78</v>
      </c>
      <c r="C23" s="1" t="s">
        <v>497</v>
      </c>
      <c r="D23" s="1" t="s">
        <v>13</v>
      </c>
      <c r="F23" s="3">
        <v>43126.0</v>
      </c>
      <c r="G23" s="1">
        <v>29.3</v>
      </c>
      <c r="H23" s="1">
        <v>24.2</v>
      </c>
      <c r="I23" s="1">
        <v>21.6</v>
      </c>
      <c r="J23" s="1">
        <v>21.3</v>
      </c>
      <c r="K23" s="1">
        <v>18.8</v>
      </c>
      <c r="L23" s="1">
        <v>8.3</v>
      </c>
      <c r="N23" s="1" t="s">
        <v>367</v>
      </c>
      <c r="O23" s="4" t="str">
        <f>B23</f>
        <v>Inga laurina</v>
      </c>
      <c r="P23" s="1" t="s">
        <v>497</v>
      </c>
    </row>
    <row r="24">
      <c r="A24" s="1">
        <v>76.0</v>
      </c>
      <c r="B24" s="9" t="s">
        <v>498</v>
      </c>
      <c r="C24" s="1" t="s">
        <v>497</v>
      </c>
      <c r="D24" s="1" t="s">
        <v>452</v>
      </c>
      <c r="F24" s="3">
        <v>45702.0</v>
      </c>
      <c r="G24" s="1">
        <v>32.0</v>
      </c>
      <c r="H24" s="1">
        <v>27.4</v>
      </c>
      <c r="I24" s="1">
        <v>23.3</v>
      </c>
      <c r="J24" s="1">
        <v>32.1</v>
      </c>
      <c r="K24" s="1">
        <v>21.2</v>
      </c>
      <c r="L24" s="1">
        <v>8.2</v>
      </c>
      <c r="N24" s="1" t="s">
        <v>367</v>
      </c>
      <c r="O24" s="1" t="s">
        <v>78</v>
      </c>
      <c r="P24" s="1" t="s">
        <v>497</v>
      </c>
      <c r="Q24" s="1" t="s">
        <v>453</v>
      </c>
      <c r="R24" s="1" t="s">
        <v>454</v>
      </c>
      <c r="S24" s="1" t="s">
        <v>455</v>
      </c>
      <c r="T24" s="1" t="s">
        <v>499</v>
      </c>
      <c r="U24" s="1" t="s">
        <v>81</v>
      </c>
      <c r="V24" s="1" t="s">
        <v>82</v>
      </c>
      <c r="X24" s="1" t="s">
        <v>25</v>
      </c>
      <c r="Y24" s="1" t="s">
        <v>500</v>
      </c>
      <c r="Z24" s="1">
        <v>16.7724675</v>
      </c>
      <c r="AA24" s="1">
        <v>-62.1944356</v>
      </c>
      <c r="AB24" s="1" t="s">
        <v>460</v>
      </c>
      <c r="AC24" s="1" t="s">
        <v>27</v>
      </c>
      <c r="AD24" s="1" t="s">
        <v>461</v>
      </c>
      <c r="AF24" s="1" t="s">
        <v>29</v>
      </c>
      <c r="AG24" s="1" t="s">
        <v>30</v>
      </c>
      <c r="AI24" s="1" t="s">
        <v>501</v>
      </c>
    </row>
    <row r="25">
      <c r="A25" s="1">
        <v>76.0</v>
      </c>
      <c r="B25" s="1"/>
      <c r="C25" s="1" t="s">
        <v>497</v>
      </c>
      <c r="D25" s="1" t="s">
        <v>17</v>
      </c>
      <c r="F25" s="3">
        <v>46063.0</v>
      </c>
      <c r="G25" s="4">
        <v>31.83</v>
      </c>
      <c r="H25" s="4">
        <v>27.69</v>
      </c>
      <c r="I25" s="4">
        <v>24.03</v>
      </c>
      <c r="J25" s="4">
        <v>23.4</v>
      </c>
      <c r="K25" s="4">
        <v>22.44</v>
      </c>
      <c r="L25" s="4">
        <v>8.44</v>
      </c>
      <c r="N25" s="1" t="s">
        <v>367</v>
      </c>
      <c r="O25" s="4">
        <v>24.03</v>
      </c>
      <c r="P25" s="10"/>
      <c r="X25" s="1"/>
      <c r="Y25" s="1"/>
      <c r="Z25" s="1"/>
      <c r="AA25" s="1"/>
      <c r="AB25" s="1"/>
      <c r="AC25" s="1"/>
      <c r="AD25" s="1"/>
      <c r="AE25" s="1"/>
      <c r="AF25" s="1"/>
      <c r="AG25" s="1"/>
      <c r="AI25" s="1"/>
    </row>
    <row r="26">
      <c r="A26" s="1">
        <v>77.0</v>
      </c>
      <c r="B26" s="1" t="s">
        <v>335</v>
      </c>
      <c r="C26" s="1" t="s">
        <v>467</v>
      </c>
      <c r="D26" s="1" t="s">
        <v>13</v>
      </c>
      <c r="F26" s="3">
        <v>43126.0</v>
      </c>
      <c r="G26" s="1">
        <v>41.1</v>
      </c>
      <c r="M26" s="1" t="s">
        <v>502</v>
      </c>
      <c r="N26" s="1" t="s">
        <v>367</v>
      </c>
      <c r="O26" s="4" t="str">
        <f>B26</f>
        <v>Cecropia schreberiana</v>
      </c>
      <c r="P26" s="1" t="s">
        <v>467</v>
      </c>
    </row>
    <row r="27">
      <c r="A27" s="1">
        <v>77.0</v>
      </c>
      <c r="B27" s="9" t="s">
        <v>503</v>
      </c>
      <c r="C27" s="1" t="s">
        <v>467</v>
      </c>
      <c r="D27" s="1" t="s">
        <v>452</v>
      </c>
      <c r="F27" s="3">
        <v>45702.0</v>
      </c>
      <c r="G27" s="1">
        <v>48.0</v>
      </c>
      <c r="I27" s="3"/>
      <c r="N27" s="1" t="s">
        <v>367</v>
      </c>
      <c r="O27" s="1" t="s">
        <v>335</v>
      </c>
      <c r="P27" s="1" t="s">
        <v>467</v>
      </c>
      <c r="Q27" s="1" t="s">
        <v>453</v>
      </c>
      <c r="R27" s="1" t="s">
        <v>454</v>
      </c>
      <c r="S27" s="1" t="s">
        <v>455</v>
      </c>
      <c r="T27" s="1" t="s">
        <v>471</v>
      </c>
      <c r="U27" s="1" t="s">
        <v>472</v>
      </c>
      <c r="V27" s="1" t="s">
        <v>473</v>
      </c>
      <c r="X27" s="1" t="s">
        <v>25</v>
      </c>
      <c r="Y27" s="1" t="s">
        <v>504</v>
      </c>
      <c r="Z27" s="1">
        <v>16.7725689</v>
      </c>
      <c r="AA27" s="1">
        <v>-62.1944433</v>
      </c>
      <c r="AB27" s="1" t="s">
        <v>460</v>
      </c>
      <c r="AC27" s="1" t="s">
        <v>27</v>
      </c>
      <c r="AD27" s="1" t="s">
        <v>461</v>
      </c>
      <c r="AF27" s="1" t="s">
        <v>29</v>
      </c>
      <c r="AG27" s="1" t="s">
        <v>30</v>
      </c>
      <c r="AI27" s="1" t="s">
        <v>505</v>
      </c>
    </row>
    <row r="28">
      <c r="A28" s="1">
        <v>77.0</v>
      </c>
      <c r="B28" s="1"/>
      <c r="C28" s="1" t="s">
        <v>467</v>
      </c>
      <c r="D28" s="1" t="s">
        <v>17</v>
      </c>
      <c r="F28" s="3">
        <v>46063.0</v>
      </c>
      <c r="G28" s="4">
        <v>49.02</v>
      </c>
      <c r="N28" s="1" t="s">
        <v>367</v>
      </c>
      <c r="O28" s="10"/>
      <c r="P28" s="10"/>
      <c r="X28" s="1"/>
      <c r="Y28" s="1"/>
      <c r="Z28" s="1"/>
      <c r="AA28" s="1"/>
      <c r="AB28" s="1"/>
      <c r="AC28" s="1"/>
      <c r="AD28" s="1"/>
      <c r="AE28" s="1"/>
      <c r="AF28" s="1"/>
      <c r="AG28" s="1"/>
      <c r="AI28" s="1"/>
    </row>
    <row r="29">
      <c r="A29" s="1">
        <v>78.0</v>
      </c>
      <c r="B29" s="1" t="s">
        <v>335</v>
      </c>
      <c r="C29" s="1" t="s">
        <v>467</v>
      </c>
      <c r="D29" s="1" t="s">
        <v>13</v>
      </c>
      <c r="F29" s="3">
        <v>43126.0</v>
      </c>
      <c r="G29" s="1">
        <v>33.4</v>
      </c>
      <c r="N29" s="1" t="s">
        <v>367</v>
      </c>
      <c r="O29" s="4" t="str">
        <f>B29</f>
        <v>Cecropia schreberiana</v>
      </c>
      <c r="P29" s="1" t="s">
        <v>467</v>
      </c>
    </row>
    <row r="30">
      <c r="A30" s="1">
        <v>78.0</v>
      </c>
      <c r="B30" s="1"/>
      <c r="C30" s="1" t="s">
        <v>467</v>
      </c>
      <c r="D30" s="1" t="s">
        <v>17</v>
      </c>
      <c r="F30" s="3">
        <v>46063.0</v>
      </c>
      <c r="G30" s="4">
        <v>40.11</v>
      </c>
      <c r="N30" s="1" t="s">
        <v>367</v>
      </c>
      <c r="O30" s="10"/>
      <c r="P30" s="10"/>
      <c r="X30" s="1"/>
      <c r="Y30" s="1"/>
      <c r="Z30" s="1"/>
      <c r="AA30" s="1"/>
      <c r="AB30" s="1"/>
      <c r="AC30" s="1"/>
      <c r="AD30" s="1"/>
      <c r="AE30" s="1"/>
      <c r="AF30" s="1"/>
      <c r="AG30" s="1"/>
      <c r="AI30" s="1"/>
    </row>
    <row r="31">
      <c r="A31" s="1">
        <v>79.0</v>
      </c>
      <c r="B31" s="1" t="s">
        <v>433</v>
      </c>
      <c r="C31" s="1" t="s">
        <v>450</v>
      </c>
      <c r="D31" s="1" t="s">
        <v>13</v>
      </c>
      <c r="F31" s="3">
        <v>43126.0</v>
      </c>
      <c r="G31" s="10">
        <v>28.3</v>
      </c>
      <c r="N31" s="1" t="s">
        <v>367</v>
      </c>
      <c r="O31" s="4" t="str">
        <f>B31</f>
        <v>Mangifera indica</v>
      </c>
      <c r="P31" s="1" t="s">
        <v>450</v>
      </c>
    </row>
    <row r="32">
      <c r="A32" s="1">
        <v>79.0</v>
      </c>
      <c r="B32" s="9" t="s">
        <v>506</v>
      </c>
      <c r="C32" s="1" t="s">
        <v>450</v>
      </c>
      <c r="D32" s="1" t="s">
        <v>452</v>
      </c>
      <c r="F32" s="3">
        <v>45702.0</v>
      </c>
      <c r="G32" s="1">
        <v>19.9</v>
      </c>
      <c r="I32" s="3"/>
      <c r="M32" s="1" t="s">
        <v>507</v>
      </c>
      <c r="N32" s="1" t="s">
        <v>367</v>
      </c>
      <c r="O32" s="1" t="s">
        <v>433</v>
      </c>
      <c r="P32" s="1" t="s">
        <v>450</v>
      </c>
      <c r="Q32" s="1" t="s">
        <v>453</v>
      </c>
      <c r="R32" s="1" t="s">
        <v>454</v>
      </c>
      <c r="S32" s="1" t="s">
        <v>455</v>
      </c>
      <c r="T32" s="1" t="s">
        <v>456</v>
      </c>
      <c r="U32" s="1" t="s">
        <v>457</v>
      </c>
      <c r="V32" s="1" t="s">
        <v>458</v>
      </c>
      <c r="X32" s="1" t="s">
        <v>25</v>
      </c>
      <c r="Y32" s="1" t="s">
        <v>508</v>
      </c>
      <c r="Z32" s="1">
        <v>16.7722398</v>
      </c>
      <c r="AA32" s="1">
        <v>-62.1944006</v>
      </c>
      <c r="AB32" s="1" t="s">
        <v>460</v>
      </c>
      <c r="AC32" s="1" t="s">
        <v>27</v>
      </c>
      <c r="AD32" s="1" t="s">
        <v>461</v>
      </c>
      <c r="AF32" s="1" t="s">
        <v>29</v>
      </c>
      <c r="AG32" s="1" t="s">
        <v>30</v>
      </c>
      <c r="AI32" s="1" t="s">
        <v>509</v>
      </c>
    </row>
    <row r="33">
      <c r="A33" s="1">
        <v>79.0</v>
      </c>
      <c r="B33" s="1"/>
      <c r="C33" s="1" t="s">
        <v>450</v>
      </c>
      <c r="D33" s="1" t="s">
        <v>17</v>
      </c>
      <c r="F33" s="3">
        <v>46063.0</v>
      </c>
      <c r="G33" s="4">
        <v>18.78</v>
      </c>
      <c r="N33" s="1" t="s">
        <v>367</v>
      </c>
      <c r="O33" s="10"/>
      <c r="P33" s="10"/>
      <c r="X33" s="1"/>
      <c r="Y33" s="1"/>
      <c r="Z33" s="1"/>
      <c r="AA33" s="1"/>
      <c r="AB33" s="1"/>
      <c r="AC33" s="1"/>
      <c r="AD33" s="1"/>
      <c r="AE33" s="1"/>
      <c r="AF33" s="1"/>
      <c r="AG33" s="1"/>
      <c r="AI33" s="1"/>
    </row>
    <row r="34">
      <c r="A34" s="1">
        <v>80.0</v>
      </c>
      <c r="B34" s="1" t="s">
        <v>433</v>
      </c>
      <c r="C34" s="1" t="s">
        <v>450</v>
      </c>
      <c r="D34" s="1" t="s">
        <v>13</v>
      </c>
      <c r="F34" s="3">
        <v>43126.0</v>
      </c>
      <c r="G34" s="1">
        <v>31.5</v>
      </c>
      <c r="M34" s="1" t="s">
        <v>510</v>
      </c>
      <c r="N34" s="1" t="s">
        <v>367</v>
      </c>
      <c r="O34" s="4" t="str">
        <f>B34</f>
        <v>Mangifera indica</v>
      </c>
      <c r="P34" s="1" t="s">
        <v>450</v>
      </c>
    </row>
    <row r="35">
      <c r="A35" s="1">
        <v>80.0</v>
      </c>
      <c r="B35" s="9" t="s">
        <v>511</v>
      </c>
      <c r="C35" s="1" t="s">
        <v>450</v>
      </c>
      <c r="D35" s="1" t="s">
        <v>452</v>
      </c>
      <c r="F35" s="3">
        <v>45702.0</v>
      </c>
      <c r="G35" s="1">
        <v>31.5</v>
      </c>
      <c r="I35" s="3"/>
      <c r="M35" s="1" t="s">
        <v>512</v>
      </c>
      <c r="N35" s="1" t="s">
        <v>367</v>
      </c>
      <c r="O35" s="1" t="s">
        <v>433</v>
      </c>
      <c r="P35" s="1" t="s">
        <v>450</v>
      </c>
      <c r="Q35" s="1" t="s">
        <v>453</v>
      </c>
      <c r="R35" s="1" t="s">
        <v>454</v>
      </c>
      <c r="S35" s="1" t="s">
        <v>455</v>
      </c>
      <c r="T35" s="1" t="s">
        <v>456</v>
      </c>
      <c r="U35" s="1" t="s">
        <v>457</v>
      </c>
      <c r="V35" s="1" t="s">
        <v>458</v>
      </c>
      <c r="X35" s="1" t="s">
        <v>25</v>
      </c>
      <c r="Y35" s="1" t="s">
        <v>513</v>
      </c>
      <c r="Z35" s="1">
        <v>16.7722689</v>
      </c>
      <c r="AA35" s="1">
        <v>-62.1943701</v>
      </c>
      <c r="AB35" s="1" t="s">
        <v>460</v>
      </c>
      <c r="AC35" s="1" t="s">
        <v>27</v>
      </c>
      <c r="AD35" s="1" t="s">
        <v>461</v>
      </c>
      <c r="AF35" s="1" t="s">
        <v>29</v>
      </c>
      <c r="AG35" s="1" t="s">
        <v>30</v>
      </c>
      <c r="AI35" s="1" t="s">
        <v>514</v>
      </c>
    </row>
    <row r="36">
      <c r="A36" s="1">
        <v>80.0</v>
      </c>
      <c r="B36" s="1"/>
      <c r="C36" s="1" t="s">
        <v>450</v>
      </c>
      <c r="D36" s="1" t="s">
        <v>17</v>
      </c>
      <c r="F36" s="3">
        <v>46063.0</v>
      </c>
      <c r="G36" s="4">
        <v>30.24</v>
      </c>
      <c r="N36" s="1" t="s">
        <v>367</v>
      </c>
      <c r="O36" s="10"/>
      <c r="P36" s="10"/>
      <c r="X36" s="1"/>
      <c r="Y36" s="1"/>
      <c r="Z36" s="1"/>
      <c r="AA36" s="1"/>
      <c r="AB36" s="1"/>
      <c r="AC36" s="1"/>
      <c r="AD36" s="1"/>
      <c r="AE36" s="1"/>
      <c r="AF36" s="1"/>
      <c r="AG36" s="1"/>
      <c r="AI36" s="1"/>
    </row>
    <row r="37">
      <c r="A37" s="1">
        <v>81.0</v>
      </c>
      <c r="B37" s="1" t="s">
        <v>433</v>
      </c>
      <c r="C37" s="1" t="s">
        <v>450</v>
      </c>
      <c r="D37" s="1" t="s">
        <v>13</v>
      </c>
      <c r="F37" s="3">
        <v>43126.0</v>
      </c>
      <c r="G37" s="1">
        <v>32.1</v>
      </c>
      <c r="N37" s="1" t="s">
        <v>367</v>
      </c>
      <c r="O37" s="4" t="str">
        <f>B37</f>
        <v>Mangifera indica</v>
      </c>
      <c r="P37" s="1" t="s">
        <v>450</v>
      </c>
    </row>
    <row r="38">
      <c r="A38" s="1">
        <v>81.0</v>
      </c>
      <c r="B38" s="9" t="s">
        <v>515</v>
      </c>
      <c r="C38" s="1" t="s">
        <v>450</v>
      </c>
      <c r="D38" s="1" t="s">
        <v>452</v>
      </c>
      <c r="F38" s="3">
        <v>45702.0</v>
      </c>
      <c r="G38" s="1">
        <v>33.4</v>
      </c>
      <c r="I38" s="3"/>
      <c r="N38" s="1" t="s">
        <v>367</v>
      </c>
      <c r="O38" s="1" t="s">
        <v>433</v>
      </c>
      <c r="P38" s="1" t="s">
        <v>450</v>
      </c>
      <c r="Q38" s="1" t="s">
        <v>453</v>
      </c>
      <c r="R38" s="1" t="s">
        <v>454</v>
      </c>
      <c r="S38" s="1" t="s">
        <v>455</v>
      </c>
      <c r="T38" s="1" t="s">
        <v>456</v>
      </c>
      <c r="U38" s="1" t="s">
        <v>457</v>
      </c>
      <c r="V38" s="1" t="s">
        <v>458</v>
      </c>
      <c r="X38" s="1" t="s">
        <v>25</v>
      </c>
      <c r="Y38" s="1" t="s">
        <v>516</v>
      </c>
      <c r="Z38" s="1">
        <v>16.7722558</v>
      </c>
      <c r="AA38" s="1">
        <v>-62.1942722</v>
      </c>
      <c r="AB38" s="1" t="s">
        <v>460</v>
      </c>
      <c r="AC38" s="1" t="s">
        <v>27</v>
      </c>
      <c r="AD38" s="1" t="s">
        <v>461</v>
      </c>
      <c r="AF38" s="1" t="s">
        <v>29</v>
      </c>
      <c r="AG38" s="1" t="s">
        <v>30</v>
      </c>
      <c r="AI38" s="1" t="s">
        <v>517</v>
      </c>
    </row>
    <row r="39">
      <c r="A39" s="1">
        <v>81.0</v>
      </c>
      <c r="B39" s="1"/>
      <c r="C39" s="1" t="s">
        <v>450</v>
      </c>
      <c r="D39" s="1" t="s">
        <v>17</v>
      </c>
      <c r="F39" s="3">
        <v>46063.0</v>
      </c>
      <c r="G39" s="4">
        <v>32.47</v>
      </c>
      <c r="N39" s="1" t="s">
        <v>367</v>
      </c>
      <c r="O39" s="10"/>
      <c r="P39" s="10"/>
      <c r="X39" s="1"/>
      <c r="Y39" s="1"/>
      <c r="Z39" s="1"/>
      <c r="AA39" s="1"/>
      <c r="AB39" s="1"/>
      <c r="AC39" s="1"/>
      <c r="AD39" s="1"/>
      <c r="AE39" s="1"/>
      <c r="AF39" s="1"/>
      <c r="AG39" s="1"/>
      <c r="AI39" s="1"/>
    </row>
    <row r="40">
      <c r="A40" s="1">
        <v>82.0</v>
      </c>
      <c r="B40" s="1" t="s">
        <v>335</v>
      </c>
      <c r="C40" s="1" t="s">
        <v>467</v>
      </c>
      <c r="D40" s="1" t="s">
        <v>13</v>
      </c>
      <c r="F40" s="3">
        <v>43126.0</v>
      </c>
      <c r="G40" s="1">
        <v>48.1</v>
      </c>
      <c r="N40" s="1" t="s">
        <v>367</v>
      </c>
      <c r="O40" s="10" t="str">
        <f>B40</f>
        <v>Cecropia schreberiana</v>
      </c>
      <c r="P40" s="10"/>
    </row>
    <row r="41">
      <c r="A41" s="1">
        <v>82.0</v>
      </c>
      <c r="B41" s="9" t="s">
        <v>518</v>
      </c>
      <c r="C41" s="1" t="s">
        <v>467</v>
      </c>
      <c r="D41" s="1" t="s">
        <v>452</v>
      </c>
      <c r="F41" s="3">
        <v>45702.0</v>
      </c>
      <c r="G41" s="1">
        <v>58.3</v>
      </c>
      <c r="I41" s="3"/>
      <c r="N41" s="1" t="s">
        <v>367</v>
      </c>
      <c r="O41" s="10" t="s">
        <v>519</v>
      </c>
      <c r="P41" s="10" t="s">
        <v>520</v>
      </c>
      <c r="Q41" s="1" t="s">
        <v>453</v>
      </c>
      <c r="R41" s="1" t="s">
        <v>454</v>
      </c>
      <c r="S41" s="1" t="s">
        <v>455</v>
      </c>
      <c r="T41" s="1" t="s">
        <v>521</v>
      </c>
      <c r="U41" s="1" t="s">
        <v>145</v>
      </c>
      <c r="V41" s="1" t="s">
        <v>146</v>
      </c>
      <c r="X41" s="1" t="s">
        <v>25</v>
      </c>
      <c r="Y41" s="1" t="s">
        <v>522</v>
      </c>
      <c r="Z41" s="1">
        <v>16.7722172</v>
      </c>
      <c r="AA41" s="1">
        <v>-62.1942925</v>
      </c>
      <c r="AB41" s="1" t="s">
        <v>460</v>
      </c>
      <c r="AC41" s="1" t="s">
        <v>27</v>
      </c>
      <c r="AD41" s="1" t="s">
        <v>461</v>
      </c>
      <c r="AF41" s="1" t="s">
        <v>29</v>
      </c>
      <c r="AG41" s="1" t="s">
        <v>30</v>
      </c>
      <c r="AI41" s="1" t="s">
        <v>523</v>
      </c>
    </row>
    <row r="42">
      <c r="A42" s="1">
        <v>82.0</v>
      </c>
      <c r="B42" s="1"/>
      <c r="C42" s="1" t="s">
        <v>467</v>
      </c>
      <c r="D42" s="1" t="s">
        <v>17</v>
      </c>
      <c r="F42" s="3">
        <v>46063.0</v>
      </c>
      <c r="G42" s="4">
        <v>60.48</v>
      </c>
      <c r="N42" s="1" t="s">
        <v>367</v>
      </c>
      <c r="O42" s="10"/>
      <c r="P42" s="10"/>
      <c r="X42" s="1"/>
      <c r="Y42" s="1"/>
      <c r="Z42" s="1"/>
      <c r="AA42" s="1"/>
      <c r="AB42" s="1"/>
      <c r="AC42" s="1"/>
      <c r="AD42" s="1"/>
      <c r="AE42" s="1"/>
      <c r="AF42" s="1"/>
      <c r="AG42" s="1"/>
      <c r="AI42" s="1"/>
    </row>
    <row r="43">
      <c r="A43" s="1">
        <v>83.0</v>
      </c>
      <c r="B43" s="1" t="s">
        <v>335</v>
      </c>
      <c r="C43" s="1" t="s">
        <v>467</v>
      </c>
      <c r="D43" s="1" t="s">
        <v>13</v>
      </c>
      <c r="F43" s="3">
        <v>43126.0</v>
      </c>
      <c r="G43" s="1">
        <v>43.0</v>
      </c>
      <c r="N43" s="1" t="s">
        <v>367</v>
      </c>
      <c r="O43" s="4" t="str">
        <f>B43</f>
        <v>Cecropia schreberiana</v>
      </c>
      <c r="P43" s="1" t="s">
        <v>467</v>
      </c>
    </row>
    <row r="44">
      <c r="A44" s="1">
        <v>83.0</v>
      </c>
      <c r="B44" s="9" t="s">
        <v>524</v>
      </c>
      <c r="C44" s="1" t="s">
        <v>467</v>
      </c>
      <c r="D44" s="1" t="s">
        <v>452</v>
      </c>
      <c r="F44" s="3">
        <v>45702.0</v>
      </c>
      <c r="I44" s="3"/>
      <c r="N44" s="1" t="s">
        <v>50</v>
      </c>
      <c r="O44" s="1" t="s">
        <v>335</v>
      </c>
      <c r="P44" s="1" t="s">
        <v>467</v>
      </c>
      <c r="Q44" s="1" t="s">
        <v>453</v>
      </c>
      <c r="R44" s="1" t="s">
        <v>454</v>
      </c>
      <c r="S44" s="1" t="s">
        <v>455</v>
      </c>
      <c r="T44" s="1" t="s">
        <v>471</v>
      </c>
      <c r="U44" s="1" t="s">
        <v>472</v>
      </c>
      <c r="V44" s="1" t="s">
        <v>473</v>
      </c>
      <c r="X44" s="1" t="s">
        <v>25</v>
      </c>
      <c r="Y44" s="1" t="s">
        <v>525</v>
      </c>
      <c r="Z44" s="1">
        <v>16.7724711</v>
      </c>
      <c r="AA44" s="1">
        <v>-62.1943975</v>
      </c>
      <c r="AB44" s="1" t="s">
        <v>460</v>
      </c>
      <c r="AC44" s="1" t="s">
        <v>27</v>
      </c>
      <c r="AD44" s="1" t="s">
        <v>461</v>
      </c>
      <c r="AF44" s="1" t="s">
        <v>29</v>
      </c>
      <c r="AG44" s="1" t="s">
        <v>30</v>
      </c>
      <c r="AI44" s="1" t="s">
        <v>526</v>
      </c>
    </row>
    <row r="45">
      <c r="A45" s="1">
        <v>83.0</v>
      </c>
      <c r="B45" s="1"/>
      <c r="C45" s="1" t="s">
        <v>467</v>
      </c>
      <c r="D45" s="1" t="s">
        <v>17</v>
      </c>
      <c r="F45" s="3">
        <v>46063.0</v>
      </c>
      <c r="N45" s="1" t="s">
        <v>50</v>
      </c>
      <c r="O45" s="10"/>
      <c r="P45" s="10"/>
      <c r="X45" s="1"/>
      <c r="Y45" s="1"/>
      <c r="Z45" s="1"/>
      <c r="AA45" s="1"/>
      <c r="AB45" s="1"/>
      <c r="AC45" s="1"/>
      <c r="AD45" s="1"/>
      <c r="AE45" s="1"/>
      <c r="AF45" s="1"/>
      <c r="AG45" s="1"/>
      <c r="AI45" s="1"/>
    </row>
    <row r="46">
      <c r="A46" s="1">
        <v>84.0</v>
      </c>
      <c r="B46" s="1" t="s">
        <v>433</v>
      </c>
      <c r="C46" s="1" t="s">
        <v>450</v>
      </c>
      <c r="D46" s="1" t="s">
        <v>13</v>
      </c>
      <c r="F46" s="3">
        <v>43126.0</v>
      </c>
      <c r="G46" s="1">
        <v>52.2</v>
      </c>
      <c r="M46" s="1" t="s">
        <v>527</v>
      </c>
      <c r="N46" s="1" t="s">
        <v>367</v>
      </c>
      <c r="O46" s="4" t="str">
        <f>B46</f>
        <v>Mangifera indica</v>
      </c>
      <c r="P46" s="1" t="s">
        <v>450</v>
      </c>
    </row>
    <row r="47">
      <c r="A47" s="1">
        <v>84.0</v>
      </c>
      <c r="B47" s="9" t="s">
        <v>528</v>
      </c>
      <c r="C47" s="1" t="s">
        <v>450</v>
      </c>
      <c r="D47" s="1" t="s">
        <v>452</v>
      </c>
      <c r="F47" s="3">
        <v>45702.0</v>
      </c>
      <c r="G47" s="1">
        <v>52.3</v>
      </c>
      <c r="I47" s="3"/>
      <c r="N47" s="1" t="s">
        <v>367</v>
      </c>
      <c r="O47" s="1" t="s">
        <v>433</v>
      </c>
      <c r="P47" s="1" t="s">
        <v>450</v>
      </c>
      <c r="Q47" s="1" t="s">
        <v>453</v>
      </c>
      <c r="R47" s="1" t="s">
        <v>454</v>
      </c>
      <c r="S47" s="1" t="s">
        <v>455</v>
      </c>
      <c r="T47" s="1" t="s">
        <v>456</v>
      </c>
      <c r="U47" s="1" t="s">
        <v>457</v>
      </c>
      <c r="V47" s="1" t="s">
        <v>458</v>
      </c>
      <c r="X47" s="1" t="s">
        <v>25</v>
      </c>
      <c r="Y47" s="1" t="s">
        <v>529</v>
      </c>
      <c r="Z47" s="1">
        <v>16.7724137</v>
      </c>
      <c r="AA47" s="1">
        <v>-62.1942392</v>
      </c>
      <c r="AB47" s="1" t="s">
        <v>460</v>
      </c>
      <c r="AC47" s="1" t="s">
        <v>27</v>
      </c>
      <c r="AD47" s="1" t="s">
        <v>461</v>
      </c>
      <c r="AF47" s="1" t="s">
        <v>29</v>
      </c>
      <c r="AG47" s="1" t="s">
        <v>30</v>
      </c>
      <c r="AI47" s="1" t="s">
        <v>530</v>
      </c>
    </row>
    <row r="48">
      <c r="A48" s="1">
        <v>84.0</v>
      </c>
      <c r="B48" s="1"/>
      <c r="C48" s="1" t="s">
        <v>450</v>
      </c>
      <c r="D48" s="1" t="s">
        <v>17</v>
      </c>
      <c r="F48" s="3">
        <v>46063.0</v>
      </c>
      <c r="G48" s="4">
        <v>51.57</v>
      </c>
      <c r="N48" s="1" t="s">
        <v>367</v>
      </c>
      <c r="O48" s="10"/>
      <c r="P48" s="10"/>
      <c r="X48" s="1"/>
      <c r="Y48" s="1"/>
      <c r="Z48" s="1"/>
      <c r="AA48" s="1"/>
      <c r="AB48" s="1"/>
      <c r="AC48" s="1"/>
      <c r="AD48" s="1"/>
      <c r="AE48" s="1"/>
      <c r="AF48" s="1"/>
      <c r="AG48" s="1"/>
      <c r="AI48" s="1"/>
    </row>
    <row r="49">
      <c r="A49" s="1">
        <v>85.0</v>
      </c>
      <c r="B49" s="1" t="s">
        <v>343</v>
      </c>
      <c r="C49" s="1" t="s">
        <v>531</v>
      </c>
      <c r="D49" s="1" t="s">
        <v>13</v>
      </c>
      <c r="F49" s="3">
        <v>43126.0</v>
      </c>
      <c r="G49" s="1">
        <v>12.7</v>
      </c>
      <c r="N49" s="1" t="s">
        <v>367</v>
      </c>
      <c r="O49" s="4" t="str">
        <f>B49</f>
        <v>Ficus citrifolia</v>
      </c>
      <c r="P49" s="1" t="s">
        <v>531</v>
      </c>
    </row>
    <row r="50">
      <c r="A50" s="1">
        <v>85.0</v>
      </c>
      <c r="B50" s="9" t="s">
        <v>532</v>
      </c>
      <c r="C50" s="1" t="s">
        <v>531</v>
      </c>
      <c r="D50" s="1" t="s">
        <v>452</v>
      </c>
      <c r="F50" s="3">
        <v>45702.0</v>
      </c>
      <c r="G50" s="1">
        <v>15.0</v>
      </c>
      <c r="I50" s="3"/>
      <c r="N50" s="1" t="s">
        <v>367</v>
      </c>
      <c r="O50" s="1" t="s">
        <v>343</v>
      </c>
      <c r="P50" s="1" t="s">
        <v>531</v>
      </c>
      <c r="Q50" s="1" t="s">
        <v>453</v>
      </c>
      <c r="R50" s="1" t="s">
        <v>454</v>
      </c>
      <c r="S50" s="1" t="s">
        <v>455</v>
      </c>
      <c r="T50" s="1" t="s">
        <v>471</v>
      </c>
      <c r="U50" s="1" t="s">
        <v>122</v>
      </c>
      <c r="V50" s="1" t="s">
        <v>123</v>
      </c>
      <c r="X50" s="1" t="s">
        <v>25</v>
      </c>
      <c r="Y50" s="1" t="s">
        <v>533</v>
      </c>
      <c r="Z50" s="1">
        <v>16.7724737</v>
      </c>
      <c r="AA50" s="1">
        <v>-62.1942989</v>
      </c>
      <c r="AB50" s="1" t="s">
        <v>460</v>
      </c>
      <c r="AC50" s="1" t="s">
        <v>27</v>
      </c>
      <c r="AD50" s="1" t="s">
        <v>461</v>
      </c>
      <c r="AF50" s="1" t="s">
        <v>29</v>
      </c>
      <c r="AG50" s="1" t="s">
        <v>30</v>
      </c>
      <c r="AI50" s="1" t="s">
        <v>534</v>
      </c>
    </row>
    <row r="51">
      <c r="A51" s="1">
        <v>85.0</v>
      </c>
      <c r="B51" s="1"/>
      <c r="C51" s="1" t="s">
        <v>531</v>
      </c>
      <c r="D51" s="1" t="s">
        <v>17</v>
      </c>
      <c r="F51" s="3">
        <v>46063.0</v>
      </c>
      <c r="G51" s="4">
        <v>15.6</v>
      </c>
      <c r="N51" s="1" t="s">
        <v>367</v>
      </c>
      <c r="O51" s="10"/>
      <c r="P51" s="10"/>
      <c r="X51" s="1"/>
      <c r="Y51" s="1"/>
      <c r="Z51" s="1"/>
      <c r="AA51" s="1"/>
      <c r="AB51" s="1"/>
      <c r="AC51" s="1"/>
      <c r="AD51" s="1"/>
      <c r="AE51" s="1"/>
      <c r="AF51" s="1"/>
      <c r="AG51" s="1"/>
      <c r="AI51" s="1"/>
    </row>
    <row r="52">
      <c r="A52" s="1">
        <v>86.0</v>
      </c>
      <c r="B52" s="1" t="s">
        <v>433</v>
      </c>
      <c r="C52" s="1" t="s">
        <v>450</v>
      </c>
      <c r="D52" s="1" t="s">
        <v>13</v>
      </c>
      <c r="F52" s="3">
        <v>43126.0</v>
      </c>
      <c r="G52" s="1">
        <v>89.8</v>
      </c>
      <c r="M52" s="1" t="s">
        <v>535</v>
      </c>
      <c r="N52" s="1" t="s">
        <v>367</v>
      </c>
      <c r="O52" s="4" t="str">
        <f>B52</f>
        <v>Mangifera indica</v>
      </c>
      <c r="P52" s="1" t="s">
        <v>450</v>
      </c>
    </row>
    <row r="53">
      <c r="A53" s="1">
        <v>86.0</v>
      </c>
      <c r="B53" s="9" t="s">
        <v>536</v>
      </c>
      <c r="C53" s="1" t="s">
        <v>450</v>
      </c>
      <c r="D53" s="1" t="s">
        <v>452</v>
      </c>
      <c r="F53" s="3">
        <v>45702.0</v>
      </c>
      <c r="G53" s="1">
        <v>90.9</v>
      </c>
      <c r="I53" s="3"/>
      <c r="N53" s="1" t="s">
        <v>367</v>
      </c>
      <c r="O53" s="1" t="s">
        <v>433</v>
      </c>
      <c r="P53" s="1" t="s">
        <v>450</v>
      </c>
      <c r="Q53" s="1" t="s">
        <v>453</v>
      </c>
      <c r="R53" s="1" t="s">
        <v>454</v>
      </c>
      <c r="S53" s="1" t="s">
        <v>455</v>
      </c>
      <c r="T53" s="1" t="s">
        <v>456</v>
      </c>
      <c r="U53" s="1" t="s">
        <v>457</v>
      </c>
      <c r="V53" s="1" t="s">
        <v>458</v>
      </c>
      <c r="X53" s="1" t="s">
        <v>25</v>
      </c>
      <c r="Y53" s="1" t="s">
        <v>537</v>
      </c>
      <c r="Z53" s="1">
        <v>16.7723517</v>
      </c>
      <c r="AA53" s="1">
        <v>-62.1942242</v>
      </c>
      <c r="AB53" s="1" t="s">
        <v>460</v>
      </c>
      <c r="AC53" s="1" t="s">
        <v>27</v>
      </c>
      <c r="AD53" s="1" t="s">
        <v>461</v>
      </c>
      <c r="AF53" s="1" t="s">
        <v>29</v>
      </c>
      <c r="AG53" s="1" t="s">
        <v>30</v>
      </c>
      <c r="AI53" s="1" t="s">
        <v>538</v>
      </c>
    </row>
    <row r="54">
      <c r="A54" s="1">
        <v>90.0</v>
      </c>
      <c r="B54" s="9" t="s">
        <v>310</v>
      </c>
      <c r="C54" s="1" t="s">
        <v>539</v>
      </c>
      <c r="D54" s="1" t="s">
        <v>452</v>
      </c>
      <c r="F54" s="3">
        <v>45702.0</v>
      </c>
      <c r="G54" s="1">
        <v>10.0</v>
      </c>
      <c r="I54" s="3"/>
      <c r="M54" s="1"/>
      <c r="N54" s="1" t="s">
        <v>367</v>
      </c>
      <c r="O54" s="10" t="s">
        <v>116</v>
      </c>
      <c r="P54" s="10" t="s">
        <v>309</v>
      </c>
      <c r="Q54" s="1"/>
      <c r="R54" s="1"/>
      <c r="S54" s="1"/>
      <c r="T54" s="1"/>
      <c r="U54" s="1"/>
      <c r="X54" s="1"/>
      <c r="Y54" s="1"/>
      <c r="Z54" s="1"/>
      <c r="AA54" s="1"/>
      <c r="AB54" s="1"/>
      <c r="AC54" s="1"/>
      <c r="AD54" s="1"/>
      <c r="AE54" s="1"/>
      <c r="AF54" s="1"/>
      <c r="AG54" s="1"/>
      <c r="AI54" s="1"/>
    </row>
    <row r="55">
      <c r="A55" s="1">
        <v>92.0</v>
      </c>
      <c r="B55" s="9" t="s">
        <v>540</v>
      </c>
      <c r="C55" s="1" t="s">
        <v>541</v>
      </c>
      <c r="D55" s="1" t="s">
        <v>452</v>
      </c>
      <c r="F55" s="3">
        <v>45702.0</v>
      </c>
      <c r="G55" s="1">
        <v>8.7</v>
      </c>
      <c r="I55" s="3"/>
      <c r="M55" s="1" t="s">
        <v>542</v>
      </c>
      <c r="N55" s="1" t="s">
        <v>367</v>
      </c>
      <c r="O55" s="10" t="s">
        <v>543</v>
      </c>
      <c r="P55" s="10" t="s">
        <v>544</v>
      </c>
      <c r="Q55" s="1" t="s">
        <v>453</v>
      </c>
      <c r="R55" s="1" t="s">
        <v>454</v>
      </c>
      <c r="S55" s="1" t="s">
        <v>455</v>
      </c>
      <c r="T55" s="1" t="s">
        <v>545</v>
      </c>
      <c r="U55" s="1" t="s">
        <v>546</v>
      </c>
      <c r="X55" s="1" t="s">
        <v>547</v>
      </c>
      <c r="Y55" s="1" t="s">
        <v>548</v>
      </c>
      <c r="Z55" s="1">
        <v>16.772499</v>
      </c>
      <c r="AA55" s="1">
        <v>-62.1944328</v>
      </c>
      <c r="AB55" s="1" t="s">
        <v>460</v>
      </c>
      <c r="AC55" s="1" t="s">
        <v>27</v>
      </c>
      <c r="AD55" s="1" t="s">
        <v>461</v>
      </c>
      <c r="AE55" s="1">
        <v>13.0</v>
      </c>
      <c r="AF55" s="1" t="s">
        <v>29</v>
      </c>
      <c r="AG55" s="1" t="s">
        <v>30</v>
      </c>
      <c r="AI55" s="1" t="s">
        <v>549</v>
      </c>
    </row>
    <row r="56" ht="16.5" customHeight="1">
      <c r="A56" s="1">
        <v>93.0</v>
      </c>
      <c r="B56" s="9" t="s">
        <v>550</v>
      </c>
      <c r="C56" s="1" t="s">
        <v>551</v>
      </c>
      <c r="D56" s="1" t="s">
        <v>452</v>
      </c>
      <c r="F56" s="3">
        <v>45702.0</v>
      </c>
      <c r="G56" s="1">
        <v>12.3</v>
      </c>
      <c r="I56" s="3"/>
      <c r="N56" s="1" t="s">
        <v>367</v>
      </c>
      <c r="O56" s="10" t="s">
        <v>104</v>
      </c>
      <c r="P56" s="10" t="s">
        <v>104</v>
      </c>
      <c r="X56" s="1" t="s">
        <v>52</v>
      </c>
      <c r="Y56" s="1" t="s">
        <v>552</v>
      </c>
      <c r="Z56" s="1">
        <v>16.7724259</v>
      </c>
      <c r="AA56" s="1">
        <v>-62.1942938</v>
      </c>
      <c r="AB56" s="1" t="s">
        <v>460</v>
      </c>
      <c r="AC56" s="1" t="s">
        <v>27</v>
      </c>
      <c r="AD56" s="1" t="s">
        <v>461</v>
      </c>
      <c r="AE56" s="1">
        <v>13.0</v>
      </c>
      <c r="AF56" s="1" t="s">
        <v>29</v>
      </c>
      <c r="AG56" s="1" t="s">
        <v>30</v>
      </c>
      <c r="AI56" s="1" t="s">
        <v>553</v>
      </c>
    </row>
  </sheetData>
  <autoFilter ref="$A$1:$AK$1011"/>
  <hyperlinks>
    <hyperlink r:id="rId1" ref="B3"/>
    <hyperlink r:id="rId2" ref="B6"/>
    <hyperlink r:id="rId3" ref="B9"/>
    <hyperlink r:id="rId4" ref="B12"/>
    <hyperlink r:id="rId5" ref="B15"/>
    <hyperlink r:id="rId6" ref="B18"/>
    <hyperlink r:id="rId7" ref="B21"/>
    <hyperlink r:id="rId8" ref="B24"/>
    <hyperlink r:id="rId9" ref="B27"/>
    <hyperlink r:id="rId10" ref="B32"/>
    <hyperlink r:id="rId11" ref="B35"/>
    <hyperlink r:id="rId12" ref="B38"/>
    <hyperlink r:id="rId13" ref="B41"/>
    <hyperlink r:id="rId14" ref="B44"/>
    <hyperlink r:id="rId15" ref="B47"/>
    <hyperlink r:id="rId16" ref="B50"/>
    <hyperlink r:id="rId17" ref="B53"/>
    <hyperlink r:id="rId18" ref="B54"/>
    <hyperlink r:id="rId19" ref="B55"/>
    <hyperlink r:id="rId20" ref="B56"/>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6" width="23.13"/>
  </cols>
  <sheetData>
    <row r="1">
      <c r="A1" s="1" t="s">
        <v>362</v>
      </c>
      <c r="B1" s="1" t="s">
        <v>363</v>
      </c>
      <c r="C1" s="1" t="s">
        <v>364</v>
      </c>
      <c r="D1" s="1" t="s">
        <v>365</v>
      </c>
      <c r="E1" s="1" t="s">
        <v>2</v>
      </c>
      <c r="F1" s="1" t="s">
        <v>366</v>
      </c>
    </row>
    <row r="2">
      <c r="A2" s="1">
        <v>69.0</v>
      </c>
      <c r="B2" s="1">
        <v>9.0</v>
      </c>
      <c r="C2" s="1">
        <v>1.0</v>
      </c>
      <c r="D2" s="1">
        <v>9.5</v>
      </c>
      <c r="E2" s="1" t="s">
        <v>433</v>
      </c>
      <c r="F2" s="1" t="s">
        <v>367</v>
      </c>
    </row>
    <row r="3">
      <c r="A3" s="1">
        <v>70.0</v>
      </c>
      <c r="B3" s="1">
        <v>9.5</v>
      </c>
      <c r="C3" s="1">
        <v>4.0</v>
      </c>
      <c r="D3" s="1">
        <v>50.7</v>
      </c>
      <c r="E3" s="1" t="s">
        <v>433</v>
      </c>
      <c r="F3" s="1" t="s">
        <v>367</v>
      </c>
    </row>
    <row r="4">
      <c r="A4" s="1">
        <v>71.0</v>
      </c>
      <c r="B4" s="1">
        <v>6.5</v>
      </c>
      <c r="C4" s="1">
        <v>5.5</v>
      </c>
      <c r="D4" s="1">
        <v>44.8</v>
      </c>
      <c r="E4" s="1" t="s">
        <v>335</v>
      </c>
      <c r="F4" s="1" t="s">
        <v>367</v>
      </c>
    </row>
    <row r="5">
      <c r="A5" s="1">
        <v>72.0</v>
      </c>
      <c r="B5" s="1">
        <v>4.5</v>
      </c>
      <c r="C5" s="1">
        <v>13.5</v>
      </c>
      <c r="D5" s="1">
        <v>37.8</v>
      </c>
      <c r="E5" s="1" t="s">
        <v>433</v>
      </c>
      <c r="F5" s="1" t="s">
        <v>367</v>
      </c>
    </row>
    <row r="6">
      <c r="A6" s="1">
        <v>73.0</v>
      </c>
      <c r="B6" s="1">
        <v>4.0</v>
      </c>
      <c r="C6" s="1">
        <v>17.0</v>
      </c>
      <c r="D6" s="1">
        <v>32.7</v>
      </c>
      <c r="E6" s="1" t="s">
        <v>484</v>
      </c>
      <c r="F6" s="1" t="s">
        <v>367</v>
      </c>
    </row>
    <row r="7">
      <c r="A7" s="1">
        <v>74.0</v>
      </c>
      <c r="B7" s="1">
        <v>1.0</v>
      </c>
      <c r="C7" s="1">
        <v>11.0</v>
      </c>
      <c r="D7" s="1">
        <v>15.6</v>
      </c>
      <c r="E7" s="1" t="s">
        <v>48</v>
      </c>
      <c r="F7" s="1" t="s">
        <v>367</v>
      </c>
    </row>
    <row r="8">
      <c r="A8" s="1">
        <v>75.0</v>
      </c>
      <c r="B8" s="1">
        <v>9.0</v>
      </c>
      <c r="C8" s="1">
        <v>18.0</v>
      </c>
      <c r="D8" s="1">
        <v>7.1</v>
      </c>
      <c r="E8" s="1" t="s">
        <v>492</v>
      </c>
      <c r="F8" s="1" t="s">
        <v>367</v>
      </c>
    </row>
    <row r="9">
      <c r="A9" s="1">
        <v>76.0</v>
      </c>
      <c r="B9" s="1">
        <v>17.0</v>
      </c>
      <c r="C9" s="1">
        <v>27.5</v>
      </c>
      <c r="D9" s="1">
        <v>32.0</v>
      </c>
      <c r="E9" s="1" t="s">
        <v>78</v>
      </c>
      <c r="F9" s="1" t="s">
        <v>367</v>
      </c>
    </row>
    <row r="10">
      <c r="A10" s="1">
        <v>77.0</v>
      </c>
      <c r="B10" s="1">
        <v>11.0</v>
      </c>
      <c r="C10" s="1">
        <v>28.0</v>
      </c>
      <c r="D10" s="1">
        <v>48.0</v>
      </c>
      <c r="E10" s="1" t="s">
        <v>335</v>
      </c>
      <c r="F10" s="1" t="s">
        <v>367</v>
      </c>
    </row>
    <row r="11">
      <c r="A11" s="1">
        <v>78.0</v>
      </c>
      <c r="B11" s="1">
        <v>16.0</v>
      </c>
      <c r="C11" s="1">
        <v>15.0</v>
      </c>
      <c r="D11" s="1"/>
      <c r="E11" s="1"/>
      <c r="F11" s="1"/>
    </row>
    <row r="12">
      <c r="A12" s="1">
        <v>79.0</v>
      </c>
      <c r="B12" s="1">
        <v>10.5</v>
      </c>
      <c r="C12" s="1">
        <v>2.5</v>
      </c>
      <c r="D12" s="1">
        <v>19.9</v>
      </c>
      <c r="E12" s="1" t="s">
        <v>433</v>
      </c>
      <c r="F12" s="1" t="s">
        <v>367</v>
      </c>
    </row>
    <row r="13">
      <c r="A13" s="1">
        <v>80.0</v>
      </c>
      <c r="B13" s="1"/>
      <c r="C13" s="1"/>
      <c r="D13" s="1">
        <v>31.5</v>
      </c>
      <c r="E13" s="1" t="s">
        <v>433</v>
      </c>
      <c r="F13" s="1" t="s">
        <v>367</v>
      </c>
    </row>
    <row r="14">
      <c r="A14" s="1">
        <v>81.0</v>
      </c>
      <c r="B14" s="1">
        <v>17.0</v>
      </c>
      <c r="C14" s="1">
        <v>0.0</v>
      </c>
      <c r="D14" s="1">
        <v>33.4</v>
      </c>
      <c r="E14" s="1" t="s">
        <v>433</v>
      </c>
      <c r="F14" s="1" t="s">
        <v>367</v>
      </c>
    </row>
    <row r="15">
      <c r="A15" s="1">
        <v>82.0</v>
      </c>
      <c r="B15" s="1">
        <v>18.0</v>
      </c>
      <c r="C15" s="1">
        <v>2.0</v>
      </c>
      <c r="D15" s="1">
        <v>58.3</v>
      </c>
      <c r="E15" s="10" t="s">
        <v>519</v>
      </c>
      <c r="F15" s="1" t="s">
        <v>367</v>
      </c>
    </row>
    <row r="16">
      <c r="A16" s="1">
        <v>83.0</v>
      </c>
      <c r="B16" s="1">
        <v>21.0</v>
      </c>
      <c r="C16" s="1">
        <v>28.5</v>
      </c>
      <c r="E16" s="1" t="s">
        <v>335</v>
      </c>
      <c r="F16" s="1" t="s">
        <v>50</v>
      </c>
    </row>
    <row r="17">
      <c r="A17" s="1">
        <v>84.0</v>
      </c>
      <c r="B17" s="1">
        <v>29.5</v>
      </c>
      <c r="C17" s="1">
        <v>17.0</v>
      </c>
      <c r="D17" s="1">
        <v>52.3</v>
      </c>
      <c r="E17" s="1" t="s">
        <v>433</v>
      </c>
      <c r="F17" s="1" t="s">
        <v>367</v>
      </c>
    </row>
    <row r="18">
      <c r="A18" s="1">
        <v>85.0</v>
      </c>
      <c r="B18" s="1">
        <v>22.0</v>
      </c>
      <c r="C18" s="1">
        <v>7.5</v>
      </c>
      <c r="D18" s="1">
        <v>15.0</v>
      </c>
      <c r="E18" s="1" t="s">
        <v>343</v>
      </c>
      <c r="F18" s="1" t="s">
        <v>367</v>
      </c>
    </row>
    <row r="19">
      <c r="A19" s="1">
        <v>86.0</v>
      </c>
      <c r="B19" s="1">
        <v>23.5</v>
      </c>
      <c r="C19" s="1">
        <v>5.0</v>
      </c>
      <c r="D19" s="1">
        <v>90.9</v>
      </c>
      <c r="E19" s="1" t="s">
        <v>433</v>
      </c>
      <c r="F19" s="1" t="s">
        <v>367</v>
      </c>
    </row>
    <row r="20">
      <c r="A20" s="1">
        <v>92.0</v>
      </c>
      <c r="B20" s="1"/>
      <c r="C20" s="1"/>
      <c r="D20" s="1">
        <v>8.7</v>
      </c>
      <c r="E20" s="10" t="s">
        <v>543</v>
      </c>
      <c r="F20" s="1" t="s">
        <v>367</v>
      </c>
    </row>
    <row r="21">
      <c r="A21" s="1">
        <v>93.0</v>
      </c>
      <c r="B21" s="1"/>
      <c r="C21" s="1"/>
      <c r="D21" s="1">
        <v>12.3</v>
      </c>
      <c r="E21" s="10" t="s">
        <v>104</v>
      </c>
      <c r="F21" s="1" t="s">
        <v>367</v>
      </c>
    </row>
  </sheetData>
  <autoFilter ref="$A$1:$F$976"/>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s>
  <sheetData>
    <row r="1">
      <c r="A1" s="1" t="s">
        <v>368</v>
      </c>
      <c r="B1" s="1" t="s">
        <v>369</v>
      </c>
      <c r="C1" s="1" t="s">
        <v>431</v>
      </c>
      <c r="D1" s="1" t="s">
        <v>9</v>
      </c>
    </row>
    <row r="2">
      <c r="A2" s="4" t="s">
        <v>554</v>
      </c>
      <c r="B2" s="1" t="s">
        <v>434</v>
      </c>
      <c r="C2" s="1">
        <v>3.0</v>
      </c>
    </row>
    <row r="3">
      <c r="A3" s="4" t="s">
        <v>554</v>
      </c>
      <c r="B3" s="1" t="s">
        <v>102</v>
      </c>
      <c r="C3" s="1">
        <v>4.0</v>
      </c>
    </row>
    <row r="4">
      <c r="A4" s="4" t="s">
        <v>554</v>
      </c>
      <c r="B4" s="1" t="s">
        <v>387</v>
      </c>
      <c r="C4" s="1">
        <v>5.0</v>
      </c>
    </row>
    <row r="5">
      <c r="A5" s="4" t="s">
        <v>554</v>
      </c>
      <c r="B5" s="1" t="s">
        <v>555</v>
      </c>
      <c r="C5" s="1">
        <v>2.0</v>
      </c>
    </row>
    <row r="6">
      <c r="A6" s="4" t="s">
        <v>554</v>
      </c>
      <c r="B6" s="1" t="s">
        <v>45</v>
      </c>
      <c r="C6" s="1">
        <v>3.0</v>
      </c>
    </row>
    <row r="7">
      <c r="A7" s="4" t="s">
        <v>554</v>
      </c>
      <c r="B7" s="1" t="s">
        <v>383</v>
      </c>
      <c r="C7" s="78">
        <v>0.25</v>
      </c>
    </row>
    <row r="8">
      <c r="A8" s="4" t="s">
        <v>554</v>
      </c>
      <c r="B8" s="1" t="s">
        <v>556</v>
      </c>
      <c r="C8" s="1">
        <v>2.0</v>
      </c>
    </row>
    <row r="9">
      <c r="A9" s="4" t="s">
        <v>557</v>
      </c>
      <c r="B9" s="1" t="s">
        <v>45</v>
      </c>
      <c r="C9" s="1">
        <v>4.0</v>
      </c>
    </row>
    <row r="10">
      <c r="A10" s="4" t="s">
        <v>557</v>
      </c>
      <c r="B10" s="1" t="s">
        <v>492</v>
      </c>
      <c r="C10" s="1">
        <v>1.0</v>
      </c>
    </row>
    <row r="11">
      <c r="A11" s="4" t="s">
        <v>557</v>
      </c>
      <c r="B11" s="1" t="s">
        <v>102</v>
      </c>
      <c r="C11" s="1">
        <v>2.0</v>
      </c>
    </row>
    <row r="12">
      <c r="A12" s="4" t="s">
        <v>557</v>
      </c>
      <c r="B12" s="1" t="s">
        <v>558</v>
      </c>
      <c r="C12" s="1">
        <v>1.0</v>
      </c>
    </row>
    <row r="13">
      <c r="A13" s="4" t="s">
        <v>557</v>
      </c>
      <c r="B13" s="1" t="s">
        <v>381</v>
      </c>
      <c r="C13" s="1">
        <v>1.0</v>
      </c>
    </row>
    <row r="14">
      <c r="A14" s="4" t="s">
        <v>557</v>
      </c>
      <c r="B14" s="1" t="s">
        <v>383</v>
      </c>
      <c r="C14" s="78">
        <v>0.95</v>
      </c>
    </row>
    <row r="15">
      <c r="A15" s="4" t="s">
        <v>559</v>
      </c>
      <c r="B15" s="1" t="s">
        <v>102</v>
      </c>
      <c r="C15" s="1">
        <v>4.0</v>
      </c>
      <c r="D15" s="1" t="s">
        <v>560</v>
      </c>
    </row>
    <row r="16">
      <c r="A16" s="4" t="s">
        <v>559</v>
      </c>
      <c r="B16" s="1" t="s">
        <v>561</v>
      </c>
      <c r="C16" s="78">
        <v>0.4</v>
      </c>
    </row>
    <row r="17">
      <c r="A17" s="4" t="s">
        <v>562</v>
      </c>
      <c r="B17" s="1" t="s">
        <v>563</v>
      </c>
      <c r="C17" s="1">
        <v>1.0</v>
      </c>
    </row>
    <row r="18">
      <c r="A18" s="4" t="s">
        <v>562</v>
      </c>
      <c r="B18" s="1" t="s">
        <v>434</v>
      </c>
      <c r="C18" s="1">
        <v>3.0</v>
      </c>
    </row>
    <row r="19">
      <c r="A19" s="4" t="s">
        <v>562</v>
      </c>
      <c r="B19" s="1" t="s">
        <v>436</v>
      </c>
      <c r="C19" s="1">
        <v>2.0</v>
      </c>
    </row>
    <row r="20">
      <c r="A20" s="4" t="s">
        <v>562</v>
      </c>
      <c r="B20" s="1" t="s">
        <v>102</v>
      </c>
      <c r="C20" s="1">
        <v>2.0</v>
      </c>
    </row>
    <row r="21">
      <c r="A21" s="4" t="s">
        <v>562</v>
      </c>
      <c r="B21" s="1" t="s">
        <v>387</v>
      </c>
      <c r="C21" s="1">
        <v>4.0</v>
      </c>
    </row>
    <row r="22">
      <c r="A22" s="4" t="s">
        <v>562</v>
      </c>
      <c r="B22" s="1" t="s">
        <v>564</v>
      </c>
      <c r="C22" s="1">
        <v>1.0</v>
      </c>
    </row>
    <row r="23">
      <c r="A23" s="4" t="s">
        <v>562</v>
      </c>
      <c r="B23" s="1" t="s">
        <v>45</v>
      </c>
      <c r="C23" s="1">
        <v>1.0</v>
      </c>
    </row>
    <row r="24">
      <c r="A24" s="4" t="s">
        <v>562</v>
      </c>
      <c r="B24" s="1" t="s">
        <v>375</v>
      </c>
      <c r="C24" s="1">
        <v>1.0</v>
      </c>
    </row>
    <row r="25">
      <c r="A25" s="4" t="s">
        <v>562</v>
      </c>
      <c r="B25" s="1" t="s">
        <v>383</v>
      </c>
      <c r="C25" s="78">
        <v>0.05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63"/>
    <col customWidth="1" min="37" max="37" width="43.75"/>
    <col customWidth="1" min="38" max="38" width="31.13"/>
    <col customWidth="1" min="50" max="50" width="34.13"/>
  </cols>
  <sheetData>
    <row r="1">
      <c r="A1" s="1" t="s">
        <v>12</v>
      </c>
      <c r="B1" s="1" t="s">
        <v>565</v>
      </c>
      <c r="C1" s="1" t="s">
        <v>566</v>
      </c>
      <c r="D1" s="1" t="s">
        <v>567</v>
      </c>
      <c r="E1" s="1" t="s">
        <v>568</v>
      </c>
      <c r="F1" s="1" t="s">
        <v>569</v>
      </c>
      <c r="G1" s="1" t="s">
        <v>570</v>
      </c>
      <c r="H1" s="1" t="s">
        <v>571</v>
      </c>
      <c r="I1" s="1" t="s">
        <v>572</v>
      </c>
      <c r="J1" s="1" t="s">
        <v>11</v>
      </c>
      <c r="K1" s="1" t="s">
        <v>573</v>
      </c>
      <c r="L1" s="1" t="s">
        <v>574</v>
      </c>
      <c r="M1" s="1" t="s">
        <v>575</v>
      </c>
      <c r="N1" s="1" t="s">
        <v>576</v>
      </c>
      <c r="O1" s="1" t="s">
        <v>577</v>
      </c>
      <c r="P1" s="1" t="s">
        <v>578</v>
      </c>
      <c r="Q1" s="1" t="s">
        <v>579</v>
      </c>
      <c r="R1" s="1" t="s">
        <v>580</v>
      </c>
      <c r="S1" s="1" t="s">
        <v>581</v>
      </c>
      <c r="T1" s="1" t="s">
        <v>582</v>
      </c>
      <c r="U1" s="1" t="s">
        <v>583</v>
      </c>
      <c r="V1" s="1" t="s">
        <v>584</v>
      </c>
      <c r="W1" s="1" t="s">
        <v>585</v>
      </c>
      <c r="X1" s="1" t="s">
        <v>586</v>
      </c>
      <c r="Y1" s="1" t="s">
        <v>587</v>
      </c>
      <c r="Z1" s="1" t="s">
        <v>588</v>
      </c>
      <c r="AA1" s="1" t="s">
        <v>589</v>
      </c>
      <c r="AB1" s="1" t="s">
        <v>590</v>
      </c>
      <c r="AC1" s="1" t="s">
        <v>591</v>
      </c>
      <c r="AD1" s="1" t="s">
        <v>592</v>
      </c>
      <c r="AE1" s="1" t="s">
        <v>593</v>
      </c>
      <c r="AF1" s="1" t="s">
        <v>594</v>
      </c>
      <c r="AG1" s="1" t="s">
        <v>595</v>
      </c>
      <c r="AH1" s="1" t="s">
        <v>596</v>
      </c>
      <c r="AI1" s="1" t="s">
        <v>597</v>
      </c>
      <c r="AJ1" s="1" t="s">
        <v>598</v>
      </c>
      <c r="AK1" s="1" t="s">
        <v>599</v>
      </c>
      <c r="AL1" s="1" t="s">
        <v>600</v>
      </c>
      <c r="AM1" s="1" t="s">
        <v>601</v>
      </c>
      <c r="AN1" s="1" t="s">
        <v>602</v>
      </c>
      <c r="AO1" s="1" t="s">
        <v>603</v>
      </c>
      <c r="AP1" s="1" t="s">
        <v>604</v>
      </c>
      <c r="AQ1" s="1" t="s">
        <v>605</v>
      </c>
      <c r="AR1" s="1" t="s">
        <v>606</v>
      </c>
      <c r="AS1" s="1" t="s">
        <v>607</v>
      </c>
      <c r="AT1" s="1" t="s">
        <v>608</v>
      </c>
      <c r="AU1" s="1" t="s">
        <v>609</v>
      </c>
      <c r="AV1" s="1" t="s">
        <v>610</v>
      </c>
      <c r="AW1" s="1" t="s">
        <v>611</v>
      </c>
      <c r="AX1" s="1" t="s">
        <v>612</v>
      </c>
      <c r="AY1" s="1" t="s">
        <v>613</v>
      </c>
      <c r="AZ1" s="1" t="s">
        <v>614</v>
      </c>
    </row>
    <row r="2">
      <c r="A2" s="9" t="s">
        <v>209</v>
      </c>
      <c r="B2" s="1" t="s">
        <v>32</v>
      </c>
      <c r="C2" s="1" t="s">
        <v>32</v>
      </c>
      <c r="D2" s="1" t="s">
        <v>615</v>
      </c>
      <c r="E2" s="1" t="s">
        <v>32</v>
      </c>
      <c r="F2" s="1" t="s">
        <v>201</v>
      </c>
      <c r="G2" s="1">
        <v>1.0</v>
      </c>
      <c r="H2" s="1" t="s">
        <v>616</v>
      </c>
      <c r="K2" s="3">
        <v>45699.0</v>
      </c>
      <c r="O2" s="1" t="s">
        <v>32</v>
      </c>
      <c r="P2" s="1" t="s">
        <v>102</v>
      </c>
      <c r="Q2" s="1" t="s">
        <v>103</v>
      </c>
      <c r="T2" s="1" t="s">
        <v>453</v>
      </c>
      <c r="U2" s="1" t="s">
        <v>454</v>
      </c>
      <c r="V2" s="1" t="s">
        <v>455</v>
      </c>
      <c r="W2" s="1" t="s">
        <v>617</v>
      </c>
      <c r="X2" s="1" t="s">
        <v>104</v>
      </c>
      <c r="Y2" s="1" t="s">
        <v>105</v>
      </c>
      <c r="AA2" s="1" t="s">
        <v>25</v>
      </c>
      <c r="AB2" s="1" t="s">
        <v>210</v>
      </c>
      <c r="AE2" s="1" t="s">
        <v>32</v>
      </c>
      <c r="AG2" s="1">
        <v>16.7687112</v>
      </c>
      <c r="AH2" s="1">
        <v>-62.2065202</v>
      </c>
      <c r="AJ2" s="1" t="s">
        <v>26</v>
      </c>
      <c r="AK2" s="1" t="s">
        <v>27</v>
      </c>
      <c r="AL2" s="1" t="s">
        <v>43</v>
      </c>
      <c r="AM2" s="1">
        <v>18.0</v>
      </c>
      <c r="AO2" s="1" t="s">
        <v>29</v>
      </c>
      <c r="AQ2" s="1" t="s">
        <v>30</v>
      </c>
      <c r="AT2" s="1" t="s">
        <v>211</v>
      </c>
      <c r="AX2" s="1">
        <v>51.0</v>
      </c>
    </row>
    <row r="3">
      <c r="A3" s="9" t="s">
        <v>203</v>
      </c>
      <c r="B3" s="1" t="s">
        <v>32</v>
      </c>
      <c r="C3" s="1" t="s">
        <v>32</v>
      </c>
      <c r="D3" s="1" t="s">
        <v>618</v>
      </c>
      <c r="E3" s="1" t="s">
        <v>32</v>
      </c>
      <c r="F3" s="1" t="s">
        <v>201</v>
      </c>
      <c r="G3" s="1">
        <v>1.0</v>
      </c>
      <c r="H3" s="1" t="s">
        <v>619</v>
      </c>
      <c r="K3" s="3">
        <v>45699.0</v>
      </c>
      <c r="O3" s="1" t="s">
        <v>32</v>
      </c>
      <c r="P3" s="1" t="s">
        <v>102</v>
      </c>
      <c r="Q3" s="1" t="s">
        <v>103</v>
      </c>
      <c r="T3" s="1" t="s">
        <v>453</v>
      </c>
      <c r="U3" s="1" t="s">
        <v>454</v>
      </c>
      <c r="V3" s="1" t="s">
        <v>455</v>
      </c>
      <c r="W3" s="1" t="s">
        <v>617</v>
      </c>
      <c r="X3" s="1" t="s">
        <v>104</v>
      </c>
      <c r="Y3" s="1" t="s">
        <v>105</v>
      </c>
      <c r="AA3" s="1" t="s">
        <v>25</v>
      </c>
      <c r="AB3" s="1" t="s">
        <v>204</v>
      </c>
      <c r="AE3" s="1" t="s">
        <v>32</v>
      </c>
      <c r="AG3" s="1">
        <v>16.7687747</v>
      </c>
      <c r="AH3" s="1">
        <v>-62.2066029</v>
      </c>
      <c r="AJ3" s="1" t="s">
        <v>26</v>
      </c>
      <c r="AK3" s="1" t="s">
        <v>27</v>
      </c>
      <c r="AL3" s="1" t="s">
        <v>43</v>
      </c>
      <c r="AM3" s="1">
        <v>14.0</v>
      </c>
      <c r="AO3" s="1" t="s">
        <v>29</v>
      </c>
      <c r="AQ3" s="1" t="s">
        <v>30</v>
      </c>
      <c r="AT3" s="1" t="s">
        <v>205</v>
      </c>
      <c r="AX3" s="1">
        <v>49.0</v>
      </c>
    </row>
    <row r="4">
      <c r="A4" s="9" t="s">
        <v>293</v>
      </c>
      <c r="B4" s="1" t="s">
        <v>32</v>
      </c>
      <c r="C4" s="1" t="s">
        <v>32</v>
      </c>
      <c r="D4" s="1" t="s">
        <v>620</v>
      </c>
      <c r="E4" s="1" t="s">
        <v>32</v>
      </c>
      <c r="F4" s="1" t="s">
        <v>201</v>
      </c>
      <c r="G4" s="1">
        <v>1.0</v>
      </c>
      <c r="H4" s="1" t="s">
        <v>621</v>
      </c>
      <c r="K4" s="3">
        <v>45699.0</v>
      </c>
      <c r="O4" s="1" t="s">
        <v>32</v>
      </c>
      <c r="P4" s="1" t="s">
        <v>178</v>
      </c>
      <c r="Q4" s="1" t="s">
        <v>179</v>
      </c>
      <c r="T4" s="1" t="s">
        <v>453</v>
      </c>
      <c r="U4" s="1" t="s">
        <v>454</v>
      </c>
      <c r="V4" s="1" t="s">
        <v>455</v>
      </c>
      <c r="W4" s="1" t="s">
        <v>617</v>
      </c>
      <c r="X4" s="1" t="s">
        <v>182</v>
      </c>
      <c r="Y4" s="1" t="s">
        <v>183</v>
      </c>
      <c r="AA4" s="1" t="s">
        <v>25</v>
      </c>
      <c r="AB4" s="1" t="s">
        <v>294</v>
      </c>
      <c r="AE4" s="1" t="s">
        <v>32</v>
      </c>
      <c r="AG4" s="1">
        <v>16.7686433</v>
      </c>
      <c r="AH4" s="1">
        <v>-62.20638</v>
      </c>
      <c r="AJ4" s="1" t="s">
        <v>26</v>
      </c>
      <c r="AK4" s="1" t="s">
        <v>27</v>
      </c>
      <c r="AL4" s="1" t="s">
        <v>43</v>
      </c>
      <c r="AM4" s="1">
        <v>12.0</v>
      </c>
      <c r="AO4" s="1" t="s">
        <v>29</v>
      </c>
      <c r="AQ4" s="1" t="s">
        <v>30</v>
      </c>
      <c r="AT4" s="1" t="s">
        <v>295</v>
      </c>
      <c r="AX4" s="1">
        <v>65.0</v>
      </c>
    </row>
    <row r="5">
      <c r="A5" s="9" t="s">
        <v>206</v>
      </c>
      <c r="B5" s="1" t="s">
        <v>32</v>
      </c>
      <c r="C5" s="1" t="s">
        <v>32</v>
      </c>
      <c r="D5" s="1" t="s">
        <v>622</v>
      </c>
      <c r="E5" s="1" t="s">
        <v>32</v>
      </c>
      <c r="F5" s="1" t="s">
        <v>201</v>
      </c>
      <c r="G5" s="1">
        <v>1.0</v>
      </c>
      <c r="H5" s="1" t="s">
        <v>623</v>
      </c>
      <c r="K5" s="3">
        <v>45699.0</v>
      </c>
      <c r="O5" s="1" t="s">
        <v>32</v>
      </c>
      <c r="P5" s="1" t="s">
        <v>102</v>
      </c>
      <c r="Q5" s="1" t="s">
        <v>103</v>
      </c>
      <c r="T5" s="1" t="s">
        <v>453</v>
      </c>
      <c r="U5" s="1" t="s">
        <v>454</v>
      </c>
      <c r="V5" s="1" t="s">
        <v>455</v>
      </c>
      <c r="W5" s="1" t="s">
        <v>617</v>
      </c>
      <c r="X5" s="1" t="s">
        <v>104</v>
      </c>
      <c r="Y5" s="1" t="s">
        <v>105</v>
      </c>
      <c r="AA5" s="1" t="s">
        <v>25</v>
      </c>
      <c r="AB5" s="1" t="s">
        <v>207</v>
      </c>
      <c r="AE5" s="1" t="s">
        <v>32</v>
      </c>
      <c r="AG5" s="1">
        <v>16.768702</v>
      </c>
      <c r="AH5" s="1">
        <v>-62.2065176</v>
      </c>
      <c r="AJ5" s="1" t="s">
        <v>26</v>
      </c>
      <c r="AK5" s="1" t="s">
        <v>27</v>
      </c>
      <c r="AL5" s="1" t="s">
        <v>43</v>
      </c>
      <c r="AM5" s="1">
        <v>6.0</v>
      </c>
      <c r="AO5" s="1" t="s">
        <v>29</v>
      </c>
      <c r="AQ5" s="1" t="s">
        <v>30</v>
      </c>
      <c r="AT5" s="1" t="s">
        <v>208</v>
      </c>
      <c r="AX5" s="1">
        <v>50.0</v>
      </c>
    </row>
    <row r="6">
      <c r="A6" s="9" t="s">
        <v>280</v>
      </c>
      <c r="B6" s="1" t="s">
        <v>32</v>
      </c>
      <c r="C6" s="1" t="s">
        <v>32</v>
      </c>
      <c r="D6" s="1" t="s">
        <v>624</v>
      </c>
      <c r="E6" s="1" t="s">
        <v>32</v>
      </c>
      <c r="F6" s="1" t="s">
        <v>201</v>
      </c>
      <c r="G6" s="1">
        <v>1.0</v>
      </c>
      <c r="H6" s="1" t="s">
        <v>625</v>
      </c>
      <c r="K6" s="3">
        <v>45699.0</v>
      </c>
      <c r="O6" s="1" t="s">
        <v>32</v>
      </c>
      <c r="P6" s="1" t="s">
        <v>127</v>
      </c>
      <c r="Q6" s="1" t="s">
        <v>128</v>
      </c>
      <c r="T6" s="1" t="s">
        <v>453</v>
      </c>
      <c r="U6" s="1" t="s">
        <v>454</v>
      </c>
      <c r="V6" s="1" t="s">
        <v>455</v>
      </c>
      <c r="W6" s="1" t="s">
        <v>626</v>
      </c>
      <c r="X6" s="1" t="s">
        <v>213</v>
      </c>
      <c r="Y6" s="1" t="s">
        <v>214</v>
      </c>
      <c r="AA6" s="1" t="s">
        <v>25</v>
      </c>
      <c r="AB6" s="1" t="s">
        <v>281</v>
      </c>
      <c r="AE6" s="1" t="s">
        <v>32</v>
      </c>
      <c r="AG6" s="1">
        <v>16.7686975</v>
      </c>
      <c r="AH6" s="1">
        <v>-62.2064564</v>
      </c>
      <c r="AJ6" s="1" t="s">
        <v>26</v>
      </c>
      <c r="AK6" s="1" t="s">
        <v>27</v>
      </c>
      <c r="AL6" s="1" t="s">
        <v>43</v>
      </c>
      <c r="AM6" s="1">
        <v>11.0</v>
      </c>
      <c r="AO6" s="1" t="s">
        <v>29</v>
      </c>
      <c r="AQ6" s="1" t="s">
        <v>30</v>
      </c>
      <c r="AT6" s="1" t="s">
        <v>282</v>
      </c>
      <c r="AX6" s="1">
        <v>62.0</v>
      </c>
    </row>
    <row r="7">
      <c r="A7" s="9" t="s">
        <v>287</v>
      </c>
      <c r="B7" s="1" t="s">
        <v>32</v>
      </c>
      <c r="C7" s="1" t="s">
        <v>32</v>
      </c>
      <c r="D7" s="1" t="s">
        <v>627</v>
      </c>
      <c r="E7" s="1" t="s">
        <v>32</v>
      </c>
      <c r="F7" s="1" t="s">
        <v>201</v>
      </c>
      <c r="G7" s="1">
        <v>1.0</v>
      </c>
      <c r="H7" s="1">
        <v>32.7</v>
      </c>
      <c r="K7" s="3">
        <v>45699.0</v>
      </c>
      <c r="O7" s="1" t="s">
        <v>32</v>
      </c>
      <c r="P7" s="1" t="s">
        <v>78</v>
      </c>
      <c r="Q7" s="1" t="s">
        <v>497</v>
      </c>
      <c r="T7" s="1" t="s">
        <v>453</v>
      </c>
      <c r="U7" s="1" t="s">
        <v>454</v>
      </c>
      <c r="V7" s="1" t="s">
        <v>455</v>
      </c>
      <c r="W7" s="1" t="s">
        <v>499</v>
      </c>
      <c r="X7" s="1" t="s">
        <v>81</v>
      </c>
      <c r="Y7" s="1" t="s">
        <v>82</v>
      </c>
      <c r="AA7" s="1" t="s">
        <v>25</v>
      </c>
      <c r="AB7" s="1" t="s">
        <v>288</v>
      </c>
      <c r="AE7" s="1" t="s">
        <v>32</v>
      </c>
      <c r="AG7" s="1">
        <v>16.7685893</v>
      </c>
      <c r="AH7" s="1">
        <v>-62.2064086</v>
      </c>
      <c r="AJ7" s="1" t="s">
        <v>26</v>
      </c>
      <c r="AK7" s="1" t="s">
        <v>27</v>
      </c>
      <c r="AL7" s="1" t="s">
        <v>43</v>
      </c>
      <c r="AM7" s="1">
        <v>6.0</v>
      </c>
      <c r="AO7" s="1" t="s">
        <v>29</v>
      </c>
      <c r="AQ7" s="1" t="s">
        <v>30</v>
      </c>
      <c r="AT7" s="1" t="s">
        <v>289</v>
      </c>
      <c r="AX7" s="1">
        <v>64.0</v>
      </c>
    </row>
    <row r="8">
      <c r="A8" s="9" t="s">
        <v>284</v>
      </c>
      <c r="B8" s="1" t="s">
        <v>32</v>
      </c>
      <c r="C8" s="1" t="s">
        <v>32</v>
      </c>
      <c r="D8" s="1" t="s">
        <v>628</v>
      </c>
      <c r="E8" s="1" t="s">
        <v>32</v>
      </c>
      <c r="F8" s="1" t="s">
        <v>201</v>
      </c>
      <c r="G8" s="1">
        <v>1.0</v>
      </c>
      <c r="H8" s="1" t="s">
        <v>629</v>
      </c>
      <c r="K8" s="3">
        <v>45699.0</v>
      </c>
      <c r="O8" s="1" t="s">
        <v>32</v>
      </c>
      <c r="P8" s="1" t="s">
        <v>18</v>
      </c>
      <c r="Q8" s="1" t="s">
        <v>19</v>
      </c>
      <c r="T8" s="1" t="s">
        <v>453</v>
      </c>
      <c r="U8" s="1" t="s">
        <v>454</v>
      </c>
      <c r="V8" s="1" t="s">
        <v>455</v>
      </c>
      <c r="W8" s="1" t="s">
        <v>630</v>
      </c>
      <c r="X8" s="1" t="s">
        <v>22</v>
      </c>
      <c r="Y8" s="1" t="s">
        <v>23</v>
      </c>
      <c r="AA8" s="1" t="s">
        <v>25</v>
      </c>
      <c r="AB8" s="1" t="s">
        <v>188</v>
      </c>
      <c r="AE8" s="1" t="s">
        <v>32</v>
      </c>
      <c r="AG8" s="1">
        <v>16.7686284</v>
      </c>
      <c r="AH8" s="1">
        <v>-62.2063608</v>
      </c>
      <c r="AJ8" s="1" t="s">
        <v>26</v>
      </c>
      <c r="AK8" s="1" t="s">
        <v>27</v>
      </c>
      <c r="AL8" s="1" t="s">
        <v>43</v>
      </c>
      <c r="AM8" s="1">
        <v>9.0</v>
      </c>
      <c r="AO8" s="1" t="s">
        <v>29</v>
      </c>
      <c r="AQ8" s="1" t="s">
        <v>30</v>
      </c>
      <c r="AT8" s="1" t="s">
        <v>285</v>
      </c>
      <c r="AX8" s="1">
        <v>63.0</v>
      </c>
    </row>
    <row r="9">
      <c r="A9" s="9" t="s">
        <v>198</v>
      </c>
      <c r="B9" s="1" t="s">
        <v>32</v>
      </c>
      <c r="C9" s="1" t="s">
        <v>32</v>
      </c>
      <c r="D9" s="1" t="s">
        <v>631</v>
      </c>
      <c r="E9" s="1" t="s">
        <v>32</v>
      </c>
      <c r="F9" s="1" t="s">
        <v>197</v>
      </c>
      <c r="G9" s="1">
        <v>1.0</v>
      </c>
      <c r="H9" s="1" t="s">
        <v>632</v>
      </c>
      <c r="K9" s="3">
        <v>45699.0</v>
      </c>
      <c r="O9" s="1" t="s">
        <v>32</v>
      </c>
      <c r="P9" s="1" t="s">
        <v>190</v>
      </c>
      <c r="Q9" s="1" t="s">
        <v>191</v>
      </c>
      <c r="T9" s="1" t="s">
        <v>453</v>
      </c>
      <c r="U9" s="1" t="s">
        <v>454</v>
      </c>
      <c r="V9" s="1" t="s">
        <v>455</v>
      </c>
      <c r="W9" s="1" t="s">
        <v>633</v>
      </c>
      <c r="X9" s="1" t="s">
        <v>193</v>
      </c>
      <c r="Y9" s="1" t="s">
        <v>194</v>
      </c>
      <c r="AA9" s="1" t="s">
        <v>25</v>
      </c>
      <c r="AB9" s="1" t="s">
        <v>199</v>
      </c>
      <c r="AE9" s="1" t="s">
        <v>32</v>
      </c>
      <c r="AG9" s="1">
        <v>16.768597</v>
      </c>
      <c r="AH9" s="1">
        <v>-62.2065509</v>
      </c>
      <c r="AJ9" s="1" t="s">
        <v>26</v>
      </c>
      <c r="AK9" s="1" t="s">
        <v>27</v>
      </c>
      <c r="AL9" s="1" t="s">
        <v>43</v>
      </c>
      <c r="AO9" s="1" t="s">
        <v>29</v>
      </c>
      <c r="AQ9" s="1" t="s">
        <v>30</v>
      </c>
      <c r="AT9" s="1" t="s">
        <v>200</v>
      </c>
      <c r="AX9" s="1">
        <v>48.0</v>
      </c>
    </row>
    <row r="10">
      <c r="A10" s="9" t="s">
        <v>634</v>
      </c>
      <c r="B10" s="1" t="s">
        <v>32</v>
      </c>
      <c r="C10" s="1" t="s">
        <v>32</v>
      </c>
      <c r="D10" s="1" t="s">
        <v>635</v>
      </c>
      <c r="E10" s="1" t="s">
        <v>32</v>
      </c>
      <c r="F10" s="1" t="s">
        <v>636</v>
      </c>
      <c r="G10" s="1">
        <v>1.0</v>
      </c>
      <c r="H10" s="1" t="s">
        <v>632</v>
      </c>
      <c r="K10" s="3">
        <v>45699.0</v>
      </c>
      <c r="O10" s="1" t="s">
        <v>32</v>
      </c>
      <c r="P10" s="1" t="s">
        <v>48</v>
      </c>
      <c r="Q10" s="1" t="s">
        <v>48</v>
      </c>
      <c r="R10" s="1" t="s">
        <v>453</v>
      </c>
      <c r="S10" s="1" t="s">
        <v>453</v>
      </c>
      <c r="AA10" s="1" t="s">
        <v>52</v>
      </c>
      <c r="AB10" s="1" t="s">
        <v>637</v>
      </c>
      <c r="AE10" s="1" t="s">
        <v>32</v>
      </c>
      <c r="AG10" s="1">
        <v>16.768597</v>
      </c>
      <c r="AH10" s="1">
        <v>-62.2065509</v>
      </c>
      <c r="AJ10" s="1" t="s">
        <v>26</v>
      </c>
      <c r="AK10" s="1" t="s">
        <v>27</v>
      </c>
      <c r="AL10" s="1" t="s">
        <v>43</v>
      </c>
      <c r="AO10" s="1" t="s">
        <v>29</v>
      </c>
      <c r="AQ10" s="1" t="s">
        <v>30</v>
      </c>
      <c r="AT10" s="1" t="s">
        <v>200</v>
      </c>
      <c r="AX10" s="1">
        <v>48.0</v>
      </c>
    </row>
    <row r="11">
      <c r="A11" s="9" t="s">
        <v>124</v>
      </c>
      <c r="B11" s="1" t="s">
        <v>32</v>
      </c>
      <c r="C11" s="1" t="s">
        <v>32</v>
      </c>
      <c r="D11" s="1" t="s">
        <v>638</v>
      </c>
      <c r="E11" s="1" t="s">
        <v>32</v>
      </c>
      <c r="F11" s="1" t="s">
        <v>98</v>
      </c>
      <c r="G11" s="1">
        <v>1.0</v>
      </c>
      <c r="H11" s="1" t="s">
        <v>639</v>
      </c>
      <c r="K11" s="3">
        <v>45699.0</v>
      </c>
      <c r="O11" s="1" t="s">
        <v>32</v>
      </c>
      <c r="P11" s="1" t="s">
        <v>119</v>
      </c>
      <c r="Q11" s="1" t="s">
        <v>640</v>
      </c>
      <c r="T11" s="1" t="s">
        <v>453</v>
      </c>
      <c r="U11" s="1" t="s">
        <v>454</v>
      </c>
      <c r="V11" s="1" t="s">
        <v>455</v>
      </c>
      <c r="W11" s="1" t="s">
        <v>471</v>
      </c>
      <c r="X11" s="1" t="s">
        <v>122</v>
      </c>
      <c r="Y11" s="1" t="s">
        <v>123</v>
      </c>
      <c r="AA11" s="1" t="s">
        <v>25</v>
      </c>
      <c r="AB11" s="1" t="s">
        <v>125</v>
      </c>
      <c r="AE11" s="1" t="s">
        <v>32</v>
      </c>
      <c r="AG11" s="1">
        <v>16.7686328</v>
      </c>
      <c r="AH11" s="1">
        <v>-62.2064452</v>
      </c>
      <c r="AJ11" s="1" t="s">
        <v>26</v>
      </c>
      <c r="AK11" s="1" t="s">
        <v>27</v>
      </c>
      <c r="AL11" s="1" t="s">
        <v>43</v>
      </c>
      <c r="AM11" s="1">
        <v>13.0</v>
      </c>
      <c r="AO11" s="1" t="s">
        <v>29</v>
      </c>
      <c r="AQ11" s="1" t="s">
        <v>30</v>
      </c>
      <c r="AT11" s="1" t="s">
        <v>126</v>
      </c>
      <c r="AX11" s="1">
        <v>37.0</v>
      </c>
    </row>
    <row r="12">
      <c r="A12" s="9" t="s">
        <v>172</v>
      </c>
      <c r="B12" s="1" t="s">
        <v>32</v>
      </c>
      <c r="C12" s="1" t="s">
        <v>32</v>
      </c>
      <c r="D12" s="1" t="s">
        <v>641</v>
      </c>
      <c r="E12" s="1" t="s">
        <v>32</v>
      </c>
      <c r="F12" s="1" t="s">
        <v>98</v>
      </c>
      <c r="G12" s="1">
        <v>1.0</v>
      </c>
      <c r="H12" s="1">
        <v>13.7</v>
      </c>
      <c r="K12" s="3">
        <v>45699.0</v>
      </c>
      <c r="O12" s="1" t="s">
        <v>32</v>
      </c>
      <c r="P12" s="1" t="s">
        <v>102</v>
      </c>
      <c r="Q12" s="1" t="s">
        <v>103</v>
      </c>
      <c r="T12" s="1" t="s">
        <v>453</v>
      </c>
      <c r="U12" s="1" t="s">
        <v>454</v>
      </c>
      <c r="V12" s="1" t="s">
        <v>455</v>
      </c>
      <c r="W12" s="1" t="s">
        <v>617</v>
      </c>
      <c r="X12" s="1" t="s">
        <v>104</v>
      </c>
      <c r="Y12" s="1" t="s">
        <v>105</v>
      </c>
      <c r="AA12" s="1" t="s">
        <v>25</v>
      </c>
      <c r="AB12" s="1" t="s">
        <v>173</v>
      </c>
      <c r="AE12" s="1" t="s">
        <v>32</v>
      </c>
      <c r="AG12" s="1">
        <v>16.7686141</v>
      </c>
      <c r="AH12" s="1">
        <v>-62.2066773</v>
      </c>
      <c r="AJ12" s="1" t="s">
        <v>26</v>
      </c>
      <c r="AK12" s="1" t="s">
        <v>27</v>
      </c>
      <c r="AL12" s="1" t="s">
        <v>43</v>
      </c>
      <c r="AM12" s="1">
        <v>10.0</v>
      </c>
      <c r="AO12" s="1" t="s">
        <v>29</v>
      </c>
      <c r="AQ12" s="1" t="s">
        <v>30</v>
      </c>
      <c r="AT12" s="1" t="s">
        <v>174</v>
      </c>
      <c r="AX12" s="1">
        <v>45.0</v>
      </c>
    </row>
    <row r="13">
      <c r="A13" s="9" t="s">
        <v>184</v>
      </c>
      <c r="B13" s="1" t="s">
        <v>32</v>
      </c>
      <c r="C13" s="1" t="s">
        <v>32</v>
      </c>
      <c r="D13" s="1" t="s">
        <v>642</v>
      </c>
      <c r="E13" s="1" t="s">
        <v>32</v>
      </c>
      <c r="F13" s="1" t="s">
        <v>98</v>
      </c>
      <c r="G13" s="1">
        <v>1.0</v>
      </c>
      <c r="H13" s="1" t="s">
        <v>643</v>
      </c>
      <c r="K13" s="3">
        <v>45699.0</v>
      </c>
      <c r="O13" s="1" t="s">
        <v>32</v>
      </c>
      <c r="P13" s="1" t="s">
        <v>178</v>
      </c>
      <c r="Q13" s="1" t="s">
        <v>179</v>
      </c>
      <c r="T13" s="1" t="s">
        <v>453</v>
      </c>
      <c r="U13" s="1" t="s">
        <v>454</v>
      </c>
      <c r="V13" s="1" t="s">
        <v>455</v>
      </c>
      <c r="W13" s="1" t="s">
        <v>617</v>
      </c>
      <c r="X13" s="1" t="s">
        <v>182</v>
      </c>
      <c r="Y13" s="1" t="s">
        <v>183</v>
      </c>
      <c r="AA13" s="1" t="s">
        <v>25</v>
      </c>
      <c r="AB13" s="1" t="s">
        <v>185</v>
      </c>
      <c r="AE13" s="1" t="s">
        <v>32</v>
      </c>
      <c r="AG13" s="1">
        <v>16.7687391</v>
      </c>
      <c r="AH13" s="1">
        <v>-62.2064902</v>
      </c>
      <c r="AJ13" s="1" t="s">
        <v>26</v>
      </c>
      <c r="AK13" s="1" t="s">
        <v>27</v>
      </c>
      <c r="AL13" s="1" t="s">
        <v>43</v>
      </c>
      <c r="AM13" s="1">
        <v>13.0</v>
      </c>
      <c r="AO13" s="1" t="s">
        <v>29</v>
      </c>
      <c r="AQ13" s="1" t="s">
        <v>30</v>
      </c>
      <c r="AT13" s="1" t="s">
        <v>186</v>
      </c>
      <c r="AX13" s="1">
        <v>47.0</v>
      </c>
    </row>
    <row r="14">
      <c r="A14" s="9" t="s">
        <v>99</v>
      </c>
      <c r="B14" s="1" t="s">
        <v>32</v>
      </c>
      <c r="C14" s="1" t="s">
        <v>32</v>
      </c>
      <c r="D14" s="1" t="s">
        <v>644</v>
      </c>
      <c r="E14" s="1" t="s">
        <v>32</v>
      </c>
      <c r="F14" s="1" t="s">
        <v>98</v>
      </c>
      <c r="G14" s="1">
        <v>1.0</v>
      </c>
      <c r="H14" s="1">
        <v>21.0</v>
      </c>
      <c r="K14" s="3">
        <v>45699.0</v>
      </c>
      <c r="O14" s="1" t="s">
        <v>32</v>
      </c>
      <c r="P14" s="1" t="s">
        <v>71</v>
      </c>
      <c r="Q14" s="1" t="s">
        <v>259</v>
      </c>
      <c r="T14" s="1" t="s">
        <v>453</v>
      </c>
      <c r="U14" s="1" t="s">
        <v>454</v>
      </c>
      <c r="V14" s="1" t="s">
        <v>455</v>
      </c>
      <c r="W14" s="1" t="s">
        <v>645</v>
      </c>
      <c r="X14" s="1" t="s">
        <v>74</v>
      </c>
      <c r="Y14" s="1" t="s">
        <v>75</v>
      </c>
      <c r="AA14" s="1" t="s">
        <v>25</v>
      </c>
      <c r="AB14" s="1" t="s">
        <v>100</v>
      </c>
      <c r="AE14" s="1" t="s">
        <v>32</v>
      </c>
      <c r="AG14" s="1">
        <v>16.7685853</v>
      </c>
      <c r="AH14" s="1">
        <v>-62.2066298</v>
      </c>
      <c r="AJ14" s="1" t="s">
        <v>26</v>
      </c>
      <c r="AK14" s="1" t="s">
        <v>27</v>
      </c>
      <c r="AL14" s="1" t="s">
        <v>43</v>
      </c>
      <c r="AM14" s="1">
        <v>8.0</v>
      </c>
      <c r="AO14" s="1" t="s">
        <v>29</v>
      </c>
      <c r="AQ14" s="1" t="s">
        <v>30</v>
      </c>
      <c r="AT14" s="1" t="s">
        <v>101</v>
      </c>
      <c r="AX14" s="1">
        <v>32.0</v>
      </c>
    </row>
    <row r="15">
      <c r="A15" s="9" t="s">
        <v>274</v>
      </c>
      <c r="B15" s="1" t="s">
        <v>32</v>
      </c>
      <c r="C15" s="1" t="s">
        <v>32</v>
      </c>
      <c r="D15" s="1" t="s">
        <v>646</v>
      </c>
      <c r="E15" s="1" t="s">
        <v>32</v>
      </c>
      <c r="F15" s="1" t="s">
        <v>98</v>
      </c>
      <c r="G15" s="1">
        <v>1.0</v>
      </c>
      <c r="H15" s="1" t="s">
        <v>50</v>
      </c>
      <c r="K15" s="3">
        <v>45699.0</v>
      </c>
      <c r="O15" s="1" t="s">
        <v>32</v>
      </c>
      <c r="P15" s="1" t="s">
        <v>266</v>
      </c>
      <c r="Q15" s="1" t="s">
        <v>268</v>
      </c>
      <c r="T15" s="1" t="s">
        <v>453</v>
      </c>
      <c r="U15" s="1" t="s">
        <v>454</v>
      </c>
      <c r="V15" s="1" t="s">
        <v>455</v>
      </c>
      <c r="W15" s="1" t="s">
        <v>471</v>
      </c>
      <c r="X15" s="1" t="s">
        <v>270</v>
      </c>
      <c r="Y15" s="1" t="s">
        <v>271</v>
      </c>
      <c r="AA15" s="1" t="s">
        <v>25</v>
      </c>
      <c r="AB15" s="1" t="s">
        <v>275</v>
      </c>
      <c r="AE15" s="1" t="s">
        <v>32</v>
      </c>
      <c r="AG15" s="1">
        <v>16.768636</v>
      </c>
      <c r="AH15" s="1">
        <v>-62.2063806</v>
      </c>
      <c r="AJ15" s="1" t="s">
        <v>26</v>
      </c>
      <c r="AK15" s="1" t="s">
        <v>27</v>
      </c>
      <c r="AL15" s="1" t="s">
        <v>43</v>
      </c>
      <c r="AM15" s="1">
        <v>10.0</v>
      </c>
      <c r="AO15" s="1" t="s">
        <v>29</v>
      </c>
      <c r="AQ15" s="1" t="s">
        <v>30</v>
      </c>
      <c r="AT15" s="1" t="s">
        <v>276</v>
      </c>
      <c r="AX15" s="1">
        <v>61.0</v>
      </c>
    </row>
    <row r="16">
      <c r="A16" s="9" t="s">
        <v>175</v>
      </c>
      <c r="B16" s="1" t="s">
        <v>32</v>
      </c>
      <c r="C16" s="1" t="s">
        <v>32</v>
      </c>
      <c r="D16" s="1" t="s">
        <v>647</v>
      </c>
      <c r="E16" s="1" t="s">
        <v>32</v>
      </c>
      <c r="F16" s="1" t="s">
        <v>98</v>
      </c>
      <c r="G16" s="1">
        <v>1.0</v>
      </c>
      <c r="H16" s="1">
        <v>27.0</v>
      </c>
      <c r="K16" s="3">
        <v>45699.0</v>
      </c>
      <c r="O16" s="1" t="s">
        <v>32</v>
      </c>
      <c r="P16" s="1" t="s">
        <v>18</v>
      </c>
      <c r="Q16" s="1" t="s">
        <v>19</v>
      </c>
      <c r="T16" s="1" t="s">
        <v>453</v>
      </c>
      <c r="U16" s="1" t="s">
        <v>454</v>
      </c>
      <c r="V16" s="1" t="s">
        <v>455</v>
      </c>
      <c r="W16" s="1" t="s">
        <v>630</v>
      </c>
      <c r="X16" s="1" t="s">
        <v>22</v>
      </c>
      <c r="Y16" s="1" t="s">
        <v>23</v>
      </c>
      <c r="AA16" s="1" t="s">
        <v>25</v>
      </c>
      <c r="AB16" s="1" t="s">
        <v>176</v>
      </c>
      <c r="AE16" s="1" t="s">
        <v>32</v>
      </c>
      <c r="AG16" s="1">
        <v>16.768761</v>
      </c>
      <c r="AH16" s="1">
        <v>-62.206507</v>
      </c>
      <c r="AJ16" s="1" t="s">
        <v>26</v>
      </c>
      <c r="AK16" s="1" t="s">
        <v>27</v>
      </c>
      <c r="AL16" s="1" t="s">
        <v>43</v>
      </c>
      <c r="AM16" s="1">
        <v>8.0</v>
      </c>
      <c r="AO16" s="1" t="s">
        <v>29</v>
      </c>
      <c r="AQ16" s="1" t="s">
        <v>30</v>
      </c>
      <c r="AT16" s="1" t="s">
        <v>177</v>
      </c>
      <c r="AX16" s="1">
        <v>46.0</v>
      </c>
    </row>
    <row r="17">
      <c r="A17" s="9" t="s">
        <v>112</v>
      </c>
      <c r="B17" s="1" t="s">
        <v>32</v>
      </c>
      <c r="C17" s="1" t="s">
        <v>32</v>
      </c>
      <c r="D17" s="1" t="s">
        <v>648</v>
      </c>
      <c r="E17" s="1" t="s">
        <v>32</v>
      </c>
      <c r="F17" s="1" t="s">
        <v>98</v>
      </c>
      <c r="G17" s="1">
        <v>1.0</v>
      </c>
      <c r="H17" s="1">
        <v>91.0</v>
      </c>
      <c r="K17" s="3">
        <v>45699.0</v>
      </c>
      <c r="O17" s="1" t="s">
        <v>32</v>
      </c>
      <c r="P17" s="1" t="s">
        <v>78</v>
      </c>
      <c r="Q17" s="1" t="s">
        <v>497</v>
      </c>
      <c r="T17" s="1" t="s">
        <v>453</v>
      </c>
      <c r="U17" s="1" t="s">
        <v>454</v>
      </c>
      <c r="V17" s="1" t="s">
        <v>455</v>
      </c>
      <c r="W17" s="1" t="s">
        <v>499</v>
      </c>
      <c r="X17" s="1" t="s">
        <v>81</v>
      </c>
      <c r="Y17" s="1" t="s">
        <v>82</v>
      </c>
      <c r="AA17" s="1" t="s">
        <v>25</v>
      </c>
      <c r="AB17" s="1" t="s">
        <v>113</v>
      </c>
      <c r="AE17" s="1" t="s">
        <v>32</v>
      </c>
      <c r="AG17" s="1">
        <v>16.768702</v>
      </c>
      <c r="AH17" s="1">
        <v>-62.2067065</v>
      </c>
      <c r="AJ17" s="1" t="s">
        <v>26</v>
      </c>
      <c r="AK17" s="1" t="s">
        <v>27</v>
      </c>
      <c r="AL17" s="1" t="s">
        <v>43</v>
      </c>
      <c r="AM17" s="1">
        <v>9.0</v>
      </c>
      <c r="AO17" s="1" t="s">
        <v>29</v>
      </c>
      <c r="AQ17" s="1" t="s">
        <v>30</v>
      </c>
      <c r="AT17" s="1" t="s">
        <v>114</v>
      </c>
      <c r="AX17" s="1">
        <v>35.0</v>
      </c>
    </row>
    <row r="18">
      <c r="A18" s="9" t="s">
        <v>329</v>
      </c>
      <c r="B18" s="1" t="s">
        <v>32</v>
      </c>
      <c r="C18" s="1" t="s">
        <v>32</v>
      </c>
      <c r="D18" s="1" t="s">
        <v>649</v>
      </c>
      <c r="E18" s="1" t="s">
        <v>32</v>
      </c>
      <c r="F18" s="1" t="s">
        <v>49</v>
      </c>
      <c r="G18" s="1">
        <v>1.0</v>
      </c>
      <c r="H18" s="1" t="s">
        <v>650</v>
      </c>
      <c r="K18" s="3">
        <v>45699.0</v>
      </c>
      <c r="O18" s="1" t="s">
        <v>32</v>
      </c>
      <c r="P18" s="1" t="s">
        <v>48</v>
      </c>
      <c r="Q18" s="1" t="s">
        <v>48</v>
      </c>
      <c r="R18" s="1" t="s">
        <v>453</v>
      </c>
      <c r="S18" s="1" t="s">
        <v>453</v>
      </c>
      <c r="AA18" s="1" t="s">
        <v>52</v>
      </c>
      <c r="AB18" s="1" t="s">
        <v>330</v>
      </c>
      <c r="AE18" s="1" t="s">
        <v>32</v>
      </c>
      <c r="AG18" s="1">
        <v>16.7686441</v>
      </c>
      <c r="AH18" s="1">
        <v>-62.2065201</v>
      </c>
      <c r="AJ18" s="1" t="s">
        <v>26</v>
      </c>
      <c r="AK18" s="1" t="s">
        <v>27</v>
      </c>
      <c r="AL18" s="1" t="s">
        <v>43</v>
      </c>
      <c r="AM18" s="1">
        <v>13.0</v>
      </c>
      <c r="AO18" s="1" t="s">
        <v>29</v>
      </c>
      <c r="AQ18" s="1" t="s">
        <v>30</v>
      </c>
      <c r="AT18" s="1" t="s">
        <v>331</v>
      </c>
      <c r="AX18" s="1">
        <v>104.0</v>
      </c>
    </row>
    <row r="19">
      <c r="A19" s="9" t="s">
        <v>141</v>
      </c>
      <c r="B19" s="1" t="s">
        <v>32</v>
      </c>
      <c r="C19" s="1" t="s">
        <v>32</v>
      </c>
      <c r="D19" s="1" t="s">
        <v>651</v>
      </c>
      <c r="E19" s="1" t="s">
        <v>32</v>
      </c>
      <c r="F19" s="1" t="s">
        <v>49</v>
      </c>
      <c r="G19" s="1">
        <v>1.0</v>
      </c>
      <c r="H19" s="1">
        <v>61.0</v>
      </c>
      <c r="K19" s="3">
        <v>45699.0</v>
      </c>
      <c r="O19" s="1" t="s">
        <v>32</v>
      </c>
      <c r="P19" s="1" t="s">
        <v>48</v>
      </c>
      <c r="Q19" s="1" t="s">
        <v>48</v>
      </c>
      <c r="R19" s="1" t="s">
        <v>453</v>
      </c>
      <c r="S19" s="1" t="s">
        <v>453</v>
      </c>
      <c r="AA19" s="1" t="s">
        <v>52</v>
      </c>
      <c r="AB19" s="1" t="s">
        <v>142</v>
      </c>
      <c r="AE19" s="1" t="s">
        <v>32</v>
      </c>
      <c r="AG19" s="1">
        <v>16.7684413</v>
      </c>
      <c r="AH19" s="1">
        <v>-62.2065601</v>
      </c>
      <c r="AJ19" s="1" t="s">
        <v>26</v>
      </c>
      <c r="AK19" s="1" t="s">
        <v>27</v>
      </c>
      <c r="AL19" s="1" t="s">
        <v>43</v>
      </c>
      <c r="AM19" s="1">
        <v>13.0</v>
      </c>
      <c r="AO19" s="1" t="s">
        <v>29</v>
      </c>
      <c r="AQ19" s="1" t="s">
        <v>30</v>
      </c>
      <c r="AT19" s="1" t="s">
        <v>143</v>
      </c>
      <c r="AX19" s="1">
        <v>40.0</v>
      </c>
    </row>
    <row r="20">
      <c r="A20" s="9" t="s">
        <v>157</v>
      </c>
      <c r="B20" s="1" t="s">
        <v>32</v>
      </c>
      <c r="C20" s="1" t="s">
        <v>32</v>
      </c>
      <c r="D20" s="1" t="s">
        <v>652</v>
      </c>
      <c r="E20" s="1" t="s">
        <v>32</v>
      </c>
      <c r="F20" s="1" t="s">
        <v>49</v>
      </c>
      <c r="G20" s="1">
        <v>1.0</v>
      </c>
      <c r="H20" s="1">
        <v>11.0</v>
      </c>
      <c r="K20" s="3">
        <v>45699.0</v>
      </c>
      <c r="O20" s="1" t="s">
        <v>32</v>
      </c>
      <c r="P20" s="1" t="s">
        <v>48</v>
      </c>
      <c r="Q20" s="1" t="s">
        <v>48</v>
      </c>
      <c r="R20" s="1" t="s">
        <v>453</v>
      </c>
      <c r="S20" s="1" t="s">
        <v>453</v>
      </c>
      <c r="AA20" s="1" t="s">
        <v>52</v>
      </c>
      <c r="AB20" s="1" t="s">
        <v>130</v>
      </c>
      <c r="AE20" s="1" t="s">
        <v>32</v>
      </c>
      <c r="AG20" s="1">
        <v>16.7684472</v>
      </c>
      <c r="AH20" s="1">
        <v>-62.2065503</v>
      </c>
      <c r="AJ20" s="1" t="s">
        <v>26</v>
      </c>
      <c r="AK20" s="1" t="s">
        <v>27</v>
      </c>
      <c r="AL20" s="1" t="s">
        <v>43</v>
      </c>
      <c r="AM20" s="1">
        <v>8.0</v>
      </c>
      <c r="AO20" s="1" t="s">
        <v>29</v>
      </c>
      <c r="AQ20" s="1" t="s">
        <v>30</v>
      </c>
      <c r="AT20" s="1" t="s">
        <v>158</v>
      </c>
      <c r="AX20" s="1">
        <v>42.0</v>
      </c>
    </row>
    <row r="21">
      <c r="A21" s="9" t="s">
        <v>320</v>
      </c>
      <c r="B21" s="1" t="s">
        <v>32</v>
      </c>
      <c r="C21" s="1" t="s">
        <v>32</v>
      </c>
      <c r="D21" s="1" t="s">
        <v>653</v>
      </c>
      <c r="E21" s="1" t="s">
        <v>32</v>
      </c>
      <c r="F21" s="1" t="s">
        <v>49</v>
      </c>
      <c r="G21" s="1">
        <v>1.0</v>
      </c>
      <c r="H21" s="1" t="s">
        <v>654</v>
      </c>
      <c r="K21" s="3">
        <v>45699.0</v>
      </c>
      <c r="O21" s="1" t="s">
        <v>32</v>
      </c>
      <c r="P21" s="1" t="s">
        <v>48</v>
      </c>
      <c r="Q21" s="1" t="s">
        <v>48</v>
      </c>
      <c r="R21" s="1" t="s">
        <v>453</v>
      </c>
      <c r="S21" s="1" t="s">
        <v>453</v>
      </c>
      <c r="AA21" s="1" t="s">
        <v>52</v>
      </c>
      <c r="AB21" s="1" t="s">
        <v>321</v>
      </c>
      <c r="AE21" s="1" t="s">
        <v>32</v>
      </c>
      <c r="AG21" s="1">
        <v>16.76864</v>
      </c>
      <c r="AH21" s="1">
        <v>-62.206515</v>
      </c>
      <c r="AJ21" s="1" t="s">
        <v>26</v>
      </c>
      <c r="AK21" s="1" t="s">
        <v>27</v>
      </c>
      <c r="AL21" s="1" t="s">
        <v>43</v>
      </c>
      <c r="AM21" s="1">
        <v>14.0</v>
      </c>
      <c r="AO21" s="1" t="s">
        <v>29</v>
      </c>
      <c r="AQ21" s="1" t="s">
        <v>30</v>
      </c>
      <c r="AT21" s="1" t="s">
        <v>322</v>
      </c>
      <c r="AX21" s="1">
        <v>101.0</v>
      </c>
    </row>
    <row r="22">
      <c r="A22" s="9" t="s">
        <v>129</v>
      </c>
      <c r="B22" s="1" t="s">
        <v>32</v>
      </c>
      <c r="C22" s="1" t="s">
        <v>32</v>
      </c>
      <c r="D22" s="1" t="s">
        <v>655</v>
      </c>
      <c r="E22" s="1" t="s">
        <v>32</v>
      </c>
      <c r="F22" s="1" t="s">
        <v>49</v>
      </c>
      <c r="G22" s="1">
        <v>1.0</v>
      </c>
      <c r="H22" s="1" t="s">
        <v>50</v>
      </c>
      <c r="K22" s="3">
        <v>45699.0</v>
      </c>
      <c r="O22" s="1" t="s">
        <v>32</v>
      </c>
      <c r="P22" s="1" t="s">
        <v>48</v>
      </c>
      <c r="Q22" s="1" t="s">
        <v>48</v>
      </c>
      <c r="R22" s="1" t="s">
        <v>453</v>
      </c>
      <c r="S22" s="1" t="s">
        <v>453</v>
      </c>
      <c r="AA22" s="1" t="s">
        <v>52</v>
      </c>
      <c r="AB22" s="1" t="s">
        <v>130</v>
      </c>
      <c r="AE22" s="1" t="s">
        <v>32</v>
      </c>
      <c r="AG22" s="1">
        <v>16.768448</v>
      </c>
      <c r="AH22" s="1">
        <v>-62.2065512</v>
      </c>
      <c r="AJ22" s="1" t="s">
        <v>26</v>
      </c>
      <c r="AK22" s="1" t="s">
        <v>27</v>
      </c>
      <c r="AL22" s="1" t="s">
        <v>43</v>
      </c>
      <c r="AM22" s="1">
        <v>16.0</v>
      </c>
      <c r="AO22" s="1" t="s">
        <v>29</v>
      </c>
      <c r="AQ22" s="1" t="s">
        <v>30</v>
      </c>
      <c r="AT22" s="1" t="s">
        <v>131</v>
      </c>
      <c r="AX22" s="1">
        <v>38.0</v>
      </c>
    </row>
    <row r="23">
      <c r="A23" s="9" t="s">
        <v>263</v>
      </c>
      <c r="B23" s="1" t="s">
        <v>32</v>
      </c>
      <c r="C23" s="1" t="s">
        <v>32</v>
      </c>
      <c r="D23" s="1" t="s">
        <v>656</v>
      </c>
      <c r="E23" s="1" t="s">
        <v>32</v>
      </c>
      <c r="F23" s="1" t="s">
        <v>49</v>
      </c>
      <c r="G23" s="1">
        <v>1.0</v>
      </c>
      <c r="H23" s="1">
        <v>13.2</v>
      </c>
      <c r="K23" s="3">
        <v>45699.0</v>
      </c>
      <c r="O23" s="1" t="s">
        <v>32</v>
      </c>
      <c r="P23" s="1" t="s">
        <v>48</v>
      </c>
      <c r="Q23" s="1" t="s">
        <v>48</v>
      </c>
      <c r="R23" s="1" t="s">
        <v>453</v>
      </c>
      <c r="S23" s="1" t="s">
        <v>453</v>
      </c>
      <c r="AA23" s="1" t="s">
        <v>52</v>
      </c>
      <c r="AB23" s="1" t="s">
        <v>264</v>
      </c>
      <c r="AE23" s="1" t="s">
        <v>32</v>
      </c>
      <c r="AG23" s="1">
        <v>16.7686303</v>
      </c>
      <c r="AH23" s="1">
        <v>-62.2065143</v>
      </c>
      <c r="AJ23" s="1" t="s">
        <v>26</v>
      </c>
      <c r="AK23" s="1" t="s">
        <v>27</v>
      </c>
      <c r="AL23" s="1" t="s">
        <v>43</v>
      </c>
      <c r="AM23" s="1">
        <v>12.0</v>
      </c>
      <c r="AO23" s="1" t="s">
        <v>29</v>
      </c>
      <c r="AQ23" s="1" t="s">
        <v>30</v>
      </c>
      <c r="AT23" s="1" t="s">
        <v>265</v>
      </c>
      <c r="AX23" s="1">
        <v>60.0</v>
      </c>
    </row>
    <row r="24">
      <c r="A24" s="9" t="s">
        <v>136</v>
      </c>
      <c r="B24" s="1" t="s">
        <v>32</v>
      </c>
      <c r="C24" s="1" t="s">
        <v>32</v>
      </c>
      <c r="D24" s="1" t="s">
        <v>657</v>
      </c>
      <c r="E24" s="1" t="s">
        <v>32</v>
      </c>
      <c r="F24" s="1" t="s">
        <v>49</v>
      </c>
      <c r="G24" s="1">
        <v>1.0</v>
      </c>
      <c r="H24" s="1">
        <v>12.0</v>
      </c>
      <c r="K24" s="3">
        <v>45699.0</v>
      </c>
      <c r="O24" s="1" t="s">
        <v>32</v>
      </c>
      <c r="P24" s="1" t="s">
        <v>48</v>
      </c>
      <c r="Q24" s="1" t="s">
        <v>48</v>
      </c>
      <c r="R24" s="1" t="s">
        <v>453</v>
      </c>
      <c r="S24" s="1" t="s">
        <v>453</v>
      </c>
      <c r="AA24" s="1" t="s">
        <v>52</v>
      </c>
      <c r="AB24" s="1" t="s">
        <v>130</v>
      </c>
      <c r="AE24" s="1" t="s">
        <v>32</v>
      </c>
      <c r="AG24" s="1">
        <v>16.7684457</v>
      </c>
      <c r="AH24" s="1">
        <v>-62.2065539</v>
      </c>
      <c r="AJ24" s="1" t="s">
        <v>26</v>
      </c>
      <c r="AK24" s="1" t="s">
        <v>27</v>
      </c>
      <c r="AL24" s="1" t="s">
        <v>43</v>
      </c>
      <c r="AM24" s="1">
        <v>9.0</v>
      </c>
      <c r="AO24" s="1" t="s">
        <v>29</v>
      </c>
      <c r="AQ24" s="1" t="s">
        <v>30</v>
      </c>
      <c r="AT24" s="1" t="s">
        <v>137</v>
      </c>
      <c r="AX24" s="1">
        <v>39.0</v>
      </c>
    </row>
    <row r="25">
      <c r="A25" s="9" t="s">
        <v>249</v>
      </c>
      <c r="B25" s="1" t="s">
        <v>32</v>
      </c>
      <c r="C25" s="1" t="s">
        <v>32</v>
      </c>
      <c r="D25" s="1" t="s">
        <v>658</v>
      </c>
      <c r="E25" s="1" t="s">
        <v>32</v>
      </c>
      <c r="F25" s="1" t="s">
        <v>49</v>
      </c>
      <c r="G25" s="1">
        <v>1.0</v>
      </c>
      <c r="H25" s="1" t="s">
        <v>50</v>
      </c>
      <c r="K25" s="3">
        <v>45699.0</v>
      </c>
      <c r="O25" s="1" t="s">
        <v>32</v>
      </c>
      <c r="P25" s="1" t="s">
        <v>48</v>
      </c>
      <c r="Q25" s="1" t="s">
        <v>48</v>
      </c>
      <c r="R25" s="1" t="s">
        <v>453</v>
      </c>
      <c r="S25" s="1" t="s">
        <v>453</v>
      </c>
      <c r="AA25" s="1" t="s">
        <v>52</v>
      </c>
      <c r="AB25" s="1" t="s">
        <v>218</v>
      </c>
      <c r="AE25" s="1" t="s">
        <v>32</v>
      </c>
      <c r="AG25" s="1">
        <v>16.7684481</v>
      </c>
      <c r="AH25" s="1">
        <v>-62.2065512</v>
      </c>
      <c r="AJ25" s="1" t="s">
        <v>26</v>
      </c>
      <c r="AK25" s="1" t="s">
        <v>27</v>
      </c>
      <c r="AL25" s="1" t="s">
        <v>43</v>
      </c>
      <c r="AM25" s="1">
        <v>17.0</v>
      </c>
      <c r="AO25" s="1" t="s">
        <v>29</v>
      </c>
      <c r="AQ25" s="1" t="s">
        <v>30</v>
      </c>
      <c r="AT25" s="1" t="s">
        <v>250</v>
      </c>
      <c r="AX25" s="1">
        <v>57.0</v>
      </c>
    </row>
    <row r="26">
      <c r="A26" s="9" t="s">
        <v>251</v>
      </c>
      <c r="B26" s="1" t="s">
        <v>32</v>
      </c>
      <c r="C26" s="1" t="s">
        <v>32</v>
      </c>
      <c r="D26" s="1" t="s">
        <v>659</v>
      </c>
      <c r="E26" s="1" t="s">
        <v>32</v>
      </c>
      <c r="F26" s="1" t="s">
        <v>49</v>
      </c>
      <c r="G26" s="1">
        <v>1.0</v>
      </c>
      <c r="H26" s="1">
        <v>14.0</v>
      </c>
      <c r="K26" s="3">
        <v>45699.0</v>
      </c>
      <c r="O26" s="1" t="s">
        <v>32</v>
      </c>
      <c r="P26" s="1" t="s">
        <v>48</v>
      </c>
      <c r="Q26" s="1" t="s">
        <v>48</v>
      </c>
      <c r="R26" s="1" t="s">
        <v>453</v>
      </c>
      <c r="S26" s="1" t="s">
        <v>453</v>
      </c>
      <c r="AA26" s="1" t="s">
        <v>52</v>
      </c>
      <c r="AB26" s="1" t="s">
        <v>228</v>
      </c>
      <c r="AE26" s="1" t="s">
        <v>32</v>
      </c>
      <c r="AG26" s="1">
        <v>16.7684516</v>
      </c>
      <c r="AH26" s="1">
        <v>-62.2065694</v>
      </c>
      <c r="AJ26" s="1" t="s">
        <v>26</v>
      </c>
      <c r="AK26" s="1" t="s">
        <v>27</v>
      </c>
      <c r="AL26" s="1" t="s">
        <v>43</v>
      </c>
      <c r="AM26" s="1">
        <v>10.0</v>
      </c>
      <c r="AO26" s="1" t="s">
        <v>29</v>
      </c>
      <c r="AQ26" s="1" t="s">
        <v>30</v>
      </c>
      <c r="AT26" s="1" t="s">
        <v>252</v>
      </c>
      <c r="AX26" s="1">
        <v>58.0</v>
      </c>
    </row>
    <row r="27">
      <c r="A27" s="9" t="s">
        <v>117</v>
      </c>
      <c r="B27" s="1" t="s">
        <v>32</v>
      </c>
      <c r="C27" s="1" t="s">
        <v>32</v>
      </c>
      <c r="D27" s="1" t="s">
        <v>660</v>
      </c>
      <c r="E27" s="1" t="s">
        <v>32</v>
      </c>
      <c r="F27" s="1" t="s">
        <v>49</v>
      </c>
      <c r="G27" s="1">
        <v>1.0</v>
      </c>
      <c r="H27" s="1">
        <v>20.6</v>
      </c>
      <c r="K27" s="3">
        <v>45699.0</v>
      </c>
      <c r="O27" s="1" t="s">
        <v>32</v>
      </c>
      <c r="P27" s="1" t="s">
        <v>48</v>
      </c>
      <c r="Q27" s="1" t="s">
        <v>48</v>
      </c>
      <c r="R27" s="1" t="s">
        <v>453</v>
      </c>
      <c r="S27" s="1" t="s">
        <v>453</v>
      </c>
      <c r="AA27" s="1" t="s">
        <v>52</v>
      </c>
      <c r="AB27" s="1" t="s">
        <v>58</v>
      </c>
      <c r="AE27" s="1" t="s">
        <v>32</v>
      </c>
      <c r="AG27" s="1">
        <v>16.7684086</v>
      </c>
      <c r="AH27" s="1">
        <v>-62.2065374</v>
      </c>
      <c r="AJ27" s="1" t="s">
        <v>26</v>
      </c>
      <c r="AK27" s="1" t="s">
        <v>27</v>
      </c>
      <c r="AL27" s="1" t="s">
        <v>43</v>
      </c>
      <c r="AM27" s="1">
        <v>7.0</v>
      </c>
      <c r="AO27" s="1" t="s">
        <v>29</v>
      </c>
      <c r="AQ27" s="1" t="s">
        <v>30</v>
      </c>
      <c r="AT27" s="1" t="s">
        <v>118</v>
      </c>
      <c r="AX27" s="1">
        <v>36.0</v>
      </c>
    </row>
    <row r="28">
      <c r="A28" s="9" t="s">
        <v>256</v>
      </c>
      <c r="B28" s="1" t="s">
        <v>32</v>
      </c>
      <c r="C28" s="1" t="s">
        <v>32</v>
      </c>
      <c r="D28" s="1" t="s">
        <v>661</v>
      </c>
      <c r="E28" s="1" t="s">
        <v>32</v>
      </c>
      <c r="F28" s="1" t="s">
        <v>49</v>
      </c>
      <c r="G28" s="1">
        <v>1.0</v>
      </c>
      <c r="H28" s="79">
        <v>45848.0</v>
      </c>
      <c r="K28" s="3">
        <v>45699.0</v>
      </c>
      <c r="O28" s="1" t="s">
        <v>32</v>
      </c>
      <c r="P28" s="1" t="s">
        <v>48</v>
      </c>
      <c r="Q28" s="1" t="s">
        <v>48</v>
      </c>
      <c r="R28" s="1" t="s">
        <v>453</v>
      </c>
      <c r="S28" s="1" t="s">
        <v>453</v>
      </c>
      <c r="AA28" s="1" t="s">
        <v>52</v>
      </c>
      <c r="AB28" s="1" t="s">
        <v>257</v>
      </c>
      <c r="AE28" s="1" t="s">
        <v>32</v>
      </c>
      <c r="AG28" s="1">
        <v>16.7684489</v>
      </c>
      <c r="AH28" s="1">
        <v>-62.206555</v>
      </c>
      <c r="AJ28" s="1" t="s">
        <v>26</v>
      </c>
      <c r="AK28" s="1" t="s">
        <v>27</v>
      </c>
      <c r="AL28" s="1" t="s">
        <v>43</v>
      </c>
      <c r="AM28" s="1">
        <v>9.0</v>
      </c>
      <c r="AO28" s="1" t="s">
        <v>29</v>
      </c>
      <c r="AQ28" s="1" t="s">
        <v>30</v>
      </c>
      <c r="AT28" s="1" t="s">
        <v>258</v>
      </c>
      <c r="AX28" s="1">
        <v>59.0</v>
      </c>
    </row>
    <row r="29">
      <c r="A29" s="9" t="s">
        <v>109</v>
      </c>
      <c r="B29" s="1" t="s">
        <v>32</v>
      </c>
      <c r="C29" s="1" t="s">
        <v>32</v>
      </c>
      <c r="D29" s="1" t="s">
        <v>662</v>
      </c>
      <c r="E29" s="1" t="s">
        <v>32</v>
      </c>
      <c r="F29" s="1" t="s">
        <v>49</v>
      </c>
      <c r="G29" s="1">
        <v>1.0</v>
      </c>
      <c r="H29" s="1" t="s">
        <v>50</v>
      </c>
      <c r="K29" s="3">
        <v>45699.0</v>
      </c>
      <c r="O29" s="1" t="s">
        <v>32</v>
      </c>
      <c r="P29" s="1" t="s">
        <v>48</v>
      </c>
      <c r="Q29" s="1" t="s">
        <v>48</v>
      </c>
      <c r="R29" s="1" t="s">
        <v>453</v>
      </c>
      <c r="S29" s="1" t="s">
        <v>453</v>
      </c>
      <c r="AA29" s="1" t="s">
        <v>52</v>
      </c>
      <c r="AB29" s="1" t="s">
        <v>110</v>
      </c>
      <c r="AE29" s="1" t="s">
        <v>32</v>
      </c>
      <c r="AG29" s="1">
        <v>16.7682167</v>
      </c>
      <c r="AH29" s="1">
        <v>-62.2065668</v>
      </c>
      <c r="AJ29" s="1" t="s">
        <v>26</v>
      </c>
      <c r="AK29" s="1" t="s">
        <v>27</v>
      </c>
      <c r="AL29" s="1" t="s">
        <v>43</v>
      </c>
      <c r="AM29" s="1">
        <v>15.0</v>
      </c>
      <c r="AO29" s="1" t="s">
        <v>29</v>
      </c>
      <c r="AQ29" s="1" t="s">
        <v>30</v>
      </c>
      <c r="AT29" s="1" t="s">
        <v>111</v>
      </c>
      <c r="AX29" s="1">
        <v>34.0</v>
      </c>
    </row>
    <row r="30">
      <c r="A30" s="9" t="s">
        <v>233</v>
      </c>
      <c r="B30" s="1" t="s">
        <v>32</v>
      </c>
      <c r="C30" s="1" t="s">
        <v>32</v>
      </c>
      <c r="D30" s="1" t="s">
        <v>663</v>
      </c>
      <c r="E30" s="1" t="s">
        <v>32</v>
      </c>
      <c r="F30" s="1" t="s">
        <v>49</v>
      </c>
      <c r="G30" s="1">
        <v>1.0</v>
      </c>
      <c r="H30" s="1">
        <v>15.0</v>
      </c>
      <c r="K30" s="3">
        <v>45699.0</v>
      </c>
      <c r="O30" s="1" t="s">
        <v>32</v>
      </c>
      <c r="P30" s="1" t="s">
        <v>48</v>
      </c>
      <c r="Q30" s="1" t="s">
        <v>48</v>
      </c>
      <c r="R30" s="1" t="s">
        <v>453</v>
      </c>
      <c r="S30" s="1" t="s">
        <v>453</v>
      </c>
      <c r="AA30" s="1" t="s">
        <v>52</v>
      </c>
      <c r="AB30" s="1" t="s">
        <v>228</v>
      </c>
      <c r="AE30" s="1" t="s">
        <v>32</v>
      </c>
      <c r="AG30" s="1">
        <v>16.7684542</v>
      </c>
      <c r="AH30" s="1">
        <v>-62.2065518</v>
      </c>
      <c r="AJ30" s="1" t="s">
        <v>26</v>
      </c>
      <c r="AK30" s="1" t="s">
        <v>27</v>
      </c>
      <c r="AL30" s="1" t="s">
        <v>43</v>
      </c>
      <c r="AM30" s="1">
        <v>9.0</v>
      </c>
      <c r="AO30" s="1" t="s">
        <v>29</v>
      </c>
      <c r="AQ30" s="1" t="s">
        <v>30</v>
      </c>
      <c r="AT30" s="1" t="s">
        <v>234</v>
      </c>
      <c r="AX30" s="1">
        <v>54.0</v>
      </c>
    </row>
    <row r="31">
      <c r="A31" s="9" t="s">
        <v>306</v>
      </c>
      <c r="B31" s="1" t="s">
        <v>32</v>
      </c>
      <c r="C31" s="1" t="s">
        <v>32</v>
      </c>
      <c r="D31" s="1" t="s">
        <v>664</v>
      </c>
      <c r="E31" s="1" t="s">
        <v>32</v>
      </c>
      <c r="F31" s="1" t="s">
        <v>49</v>
      </c>
      <c r="G31" s="1">
        <v>1.0</v>
      </c>
      <c r="H31" s="1">
        <v>11.5</v>
      </c>
      <c r="K31" s="3">
        <v>45699.0</v>
      </c>
      <c r="O31" s="1" t="s">
        <v>32</v>
      </c>
      <c r="P31" s="1" t="s">
        <v>48</v>
      </c>
      <c r="Q31" s="1" t="s">
        <v>48</v>
      </c>
      <c r="R31" s="1" t="s">
        <v>453</v>
      </c>
      <c r="S31" s="1" t="s">
        <v>453</v>
      </c>
      <c r="AA31" s="1" t="s">
        <v>52</v>
      </c>
      <c r="AB31" s="1" t="s">
        <v>307</v>
      </c>
      <c r="AE31" s="1" t="s">
        <v>32</v>
      </c>
      <c r="AG31" s="1">
        <v>16.7685288</v>
      </c>
      <c r="AH31" s="1">
        <v>-62.2066911</v>
      </c>
      <c r="AJ31" s="1" t="s">
        <v>26</v>
      </c>
      <c r="AK31" s="1" t="s">
        <v>27</v>
      </c>
      <c r="AL31" s="1" t="s">
        <v>43</v>
      </c>
      <c r="AM31" s="1">
        <v>10.0</v>
      </c>
      <c r="AO31" s="1" t="s">
        <v>29</v>
      </c>
      <c r="AQ31" s="1" t="s">
        <v>30</v>
      </c>
      <c r="AT31" s="1" t="s">
        <v>308</v>
      </c>
      <c r="AX31" s="1">
        <v>87.0</v>
      </c>
    </row>
    <row r="32">
      <c r="A32" s="9" t="s">
        <v>51</v>
      </c>
      <c r="B32" s="1" t="s">
        <v>32</v>
      </c>
      <c r="C32" s="1" t="s">
        <v>32</v>
      </c>
      <c r="D32" s="1" t="s">
        <v>665</v>
      </c>
      <c r="E32" s="1" t="s">
        <v>32</v>
      </c>
      <c r="F32" s="1" t="s">
        <v>49</v>
      </c>
      <c r="G32" s="1">
        <v>1.0</v>
      </c>
      <c r="H32" s="1" t="s">
        <v>50</v>
      </c>
      <c r="K32" s="3">
        <v>45699.0</v>
      </c>
      <c r="O32" s="1" t="s">
        <v>32</v>
      </c>
      <c r="P32" s="1" t="s">
        <v>48</v>
      </c>
      <c r="Q32" s="1" t="s">
        <v>48</v>
      </c>
      <c r="R32" s="1" t="s">
        <v>453</v>
      </c>
      <c r="S32" s="1" t="s">
        <v>453</v>
      </c>
      <c r="AA32" s="1" t="s">
        <v>52</v>
      </c>
      <c r="AB32" s="1" t="s">
        <v>53</v>
      </c>
      <c r="AE32" s="1" t="s">
        <v>32</v>
      </c>
      <c r="AG32" s="1">
        <v>16.7684393</v>
      </c>
      <c r="AH32" s="1">
        <v>-62.2065341</v>
      </c>
      <c r="AJ32" s="1" t="s">
        <v>26</v>
      </c>
      <c r="AK32" s="1" t="s">
        <v>27</v>
      </c>
      <c r="AL32" s="1" t="s">
        <v>43</v>
      </c>
      <c r="AM32" s="1">
        <v>8.0</v>
      </c>
      <c r="AO32" s="1" t="s">
        <v>29</v>
      </c>
      <c r="AQ32" s="1" t="s">
        <v>30</v>
      </c>
      <c r="AT32" s="1" t="s">
        <v>54</v>
      </c>
      <c r="AX32" s="1">
        <v>23.0</v>
      </c>
    </row>
    <row r="33">
      <c r="A33" s="9" t="s">
        <v>227</v>
      </c>
      <c r="B33" s="1" t="s">
        <v>32</v>
      </c>
      <c r="C33" s="1" t="s">
        <v>32</v>
      </c>
      <c r="D33" s="1" t="s">
        <v>666</v>
      </c>
      <c r="E33" s="1" t="s">
        <v>32</v>
      </c>
      <c r="F33" s="1" t="s">
        <v>49</v>
      </c>
      <c r="G33" s="1">
        <v>1.0</v>
      </c>
      <c r="H33" s="1">
        <v>65.0</v>
      </c>
      <c r="K33" s="3">
        <v>45699.0</v>
      </c>
      <c r="O33" s="1" t="s">
        <v>32</v>
      </c>
      <c r="P33" s="1" t="s">
        <v>48</v>
      </c>
      <c r="Q33" s="1" t="s">
        <v>48</v>
      </c>
      <c r="R33" s="1" t="s">
        <v>453</v>
      </c>
      <c r="S33" s="1" t="s">
        <v>453</v>
      </c>
      <c r="AA33" s="1" t="s">
        <v>52</v>
      </c>
      <c r="AB33" s="1" t="s">
        <v>228</v>
      </c>
      <c r="AE33" s="1" t="s">
        <v>32</v>
      </c>
      <c r="AG33" s="1">
        <v>16.7684463</v>
      </c>
      <c r="AH33" s="1">
        <v>-62.2065623</v>
      </c>
      <c r="AJ33" s="1" t="s">
        <v>26</v>
      </c>
      <c r="AK33" s="1" t="s">
        <v>27</v>
      </c>
      <c r="AL33" s="1" t="s">
        <v>43</v>
      </c>
      <c r="AM33" s="1">
        <v>12.0</v>
      </c>
      <c r="AO33" s="1" t="s">
        <v>29</v>
      </c>
      <c r="AQ33" s="1" t="s">
        <v>30</v>
      </c>
      <c r="AT33" s="1" t="s">
        <v>229</v>
      </c>
      <c r="AX33" s="1">
        <v>53.0</v>
      </c>
    </row>
    <row r="34">
      <c r="A34" s="9" t="s">
        <v>310</v>
      </c>
      <c r="B34" s="1" t="s">
        <v>32</v>
      </c>
      <c r="C34" s="1" t="s">
        <v>32</v>
      </c>
      <c r="D34" s="1" t="s">
        <v>667</v>
      </c>
      <c r="E34" s="1" t="s">
        <v>32</v>
      </c>
      <c r="F34" s="1" t="s">
        <v>49</v>
      </c>
      <c r="G34" s="1">
        <v>1.0</v>
      </c>
      <c r="H34" s="1">
        <v>10.0</v>
      </c>
      <c r="K34" s="3">
        <v>45699.0</v>
      </c>
      <c r="O34" s="1" t="s">
        <v>32</v>
      </c>
      <c r="P34" s="1" t="s">
        <v>48</v>
      </c>
      <c r="Q34" s="1" t="s">
        <v>48</v>
      </c>
      <c r="R34" s="1" t="s">
        <v>453</v>
      </c>
      <c r="S34" s="1" t="s">
        <v>453</v>
      </c>
      <c r="AA34" s="1" t="s">
        <v>52</v>
      </c>
      <c r="AB34" s="1" t="s">
        <v>311</v>
      </c>
      <c r="AE34" s="1" t="s">
        <v>32</v>
      </c>
      <c r="AG34" s="1">
        <v>16.7685321</v>
      </c>
      <c r="AH34" s="1">
        <v>-62.2066762</v>
      </c>
      <c r="AJ34" s="1" t="s">
        <v>26</v>
      </c>
      <c r="AK34" s="1" t="s">
        <v>27</v>
      </c>
      <c r="AL34" s="1" t="s">
        <v>43</v>
      </c>
      <c r="AM34" s="1">
        <v>9.0</v>
      </c>
      <c r="AO34" s="1" t="s">
        <v>29</v>
      </c>
      <c r="AQ34" s="1" t="s">
        <v>30</v>
      </c>
      <c r="AT34" s="1" t="s">
        <v>312</v>
      </c>
      <c r="AX34" s="1">
        <v>90.0</v>
      </c>
    </row>
    <row r="35">
      <c r="A35" s="9" t="s">
        <v>299</v>
      </c>
      <c r="B35" s="1" t="s">
        <v>32</v>
      </c>
      <c r="C35" s="1" t="s">
        <v>32</v>
      </c>
      <c r="D35" s="1" t="s">
        <v>668</v>
      </c>
      <c r="E35" s="1" t="s">
        <v>32</v>
      </c>
      <c r="F35" s="1" t="s">
        <v>149</v>
      </c>
      <c r="G35" s="1">
        <v>1.0</v>
      </c>
      <c r="H35" s="1">
        <v>60.0</v>
      </c>
      <c r="K35" s="3">
        <v>45699.0</v>
      </c>
      <c r="O35" s="1" t="s">
        <v>32</v>
      </c>
      <c r="P35" s="1" t="s">
        <v>48</v>
      </c>
      <c r="Q35" s="1" t="s">
        <v>48</v>
      </c>
      <c r="R35" s="1" t="s">
        <v>453</v>
      </c>
      <c r="S35" s="1" t="s">
        <v>453</v>
      </c>
      <c r="AA35" s="1" t="s">
        <v>52</v>
      </c>
      <c r="AB35" s="1" t="s">
        <v>300</v>
      </c>
      <c r="AE35" s="1" t="s">
        <v>32</v>
      </c>
      <c r="AG35" s="1">
        <v>16.7684371</v>
      </c>
      <c r="AH35" s="1">
        <v>-62.206548</v>
      </c>
      <c r="AJ35" s="1" t="s">
        <v>26</v>
      </c>
      <c r="AK35" s="1" t="s">
        <v>27</v>
      </c>
      <c r="AL35" s="1" t="s">
        <v>43</v>
      </c>
      <c r="AM35" s="1">
        <v>10.0</v>
      </c>
      <c r="AO35" s="1" t="s">
        <v>29</v>
      </c>
      <c r="AQ35" s="1" t="s">
        <v>30</v>
      </c>
      <c r="AT35" s="1" t="s">
        <v>301</v>
      </c>
      <c r="AX35" s="1">
        <v>67.0</v>
      </c>
    </row>
    <row r="36">
      <c r="A36" s="9" t="s">
        <v>150</v>
      </c>
      <c r="B36" s="1" t="s">
        <v>32</v>
      </c>
      <c r="C36" s="1" t="s">
        <v>32</v>
      </c>
      <c r="D36" s="1" t="s">
        <v>669</v>
      </c>
      <c r="E36" s="1" t="s">
        <v>32</v>
      </c>
      <c r="F36" s="1" t="s">
        <v>149</v>
      </c>
      <c r="G36" s="1">
        <v>1.0</v>
      </c>
      <c r="H36" s="1">
        <v>120.0</v>
      </c>
      <c r="K36" s="3">
        <v>45699.0</v>
      </c>
      <c r="O36" s="1" t="s">
        <v>32</v>
      </c>
      <c r="P36" s="1" t="s">
        <v>48</v>
      </c>
      <c r="Q36" s="1" t="s">
        <v>48</v>
      </c>
      <c r="R36" s="1" t="s">
        <v>453</v>
      </c>
      <c r="S36" s="1" t="s">
        <v>453</v>
      </c>
      <c r="AA36" s="1" t="s">
        <v>52</v>
      </c>
      <c r="AB36" s="1" t="s">
        <v>142</v>
      </c>
      <c r="AE36" s="1" t="s">
        <v>32</v>
      </c>
      <c r="AG36" s="1">
        <v>16.7684402</v>
      </c>
      <c r="AH36" s="1">
        <v>-62.2065595</v>
      </c>
      <c r="AJ36" s="1" t="s">
        <v>26</v>
      </c>
      <c r="AK36" s="1" t="s">
        <v>27</v>
      </c>
      <c r="AL36" s="1" t="s">
        <v>43</v>
      </c>
      <c r="AM36" s="1">
        <v>11.0</v>
      </c>
      <c r="AO36" s="1" t="s">
        <v>29</v>
      </c>
      <c r="AQ36" s="1" t="s">
        <v>30</v>
      </c>
      <c r="AT36" s="1" t="s">
        <v>151</v>
      </c>
      <c r="AX36" s="1">
        <v>41.0</v>
      </c>
    </row>
    <row r="37">
      <c r="A37" s="9" t="s">
        <v>239</v>
      </c>
      <c r="B37" s="1" t="s">
        <v>32</v>
      </c>
      <c r="C37" s="1" t="s">
        <v>32</v>
      </c>
      <c r="D37" s="1" t="s">
        <v>670</v>
      </c>
      <c r="E37" s="1" t="s">
        <v>32</v>
      </c>
      <c r="F37" s="1" t="s">
        <v>149</v>
      </c>
      <c r="G37" s="1">
        <v>1.0</v>
      </c>
      <c r="H37" s="1">
        <v>10.0</v>
      </c>
      <c r="K37" s="3">
        <v>45699.0</v>
      </c>
      <c r="O37" s="1" t="s">
        <v>32</v>
      </c>
      <c r="P37" s="1" t="s">
        <v>48</v>
      </c>
      <c r="Q37" s="1" t="s">
        <v>48</v>
      </c>
      <c r="R37" s="1" t="s">
        <v>453</v>
      </c>
      <c r="S37" s="1" t="s">
        <v>453</v>
      </c>
      <c r="AA37" s="1" t="s">
        <v>52</v>
      </c>
      <c r="AB37" s="1" t="s">
        <v>218</v>
      </c>
      <c r="AE37" s="1" t="s">
        <v>32</v>
      </c>
      <c r="AG37" s="1">
        <v>16.7684504</v>
      </c>
      <c r="AH37" s="1">
        <v>-62.2065493</v>
      </c>
      <c r="AJ37" s="1" t="s">
        <v>26</v>
      </c>
      <c r="AK37" s="1" t="s">
        <v>27</v>
      </c>
      <c r="AL37" s="1" t="s">
        <v>43</v>
      </c>
      <c r="AM37" s="1">
        <v>14.0</v>
      </c>
      <c r="AO37" s="1" t="s">
        <v>29</v>
      </c>
      <c r="AQ37" s="1" t="s">
        <v>30</v>
      </c>
      <c r="AT37" s="1" t="s">
        <v>240</v>
      </c>
      <c r="AX37" s="1">
        <v>55.0</v>
      </c>
    </row>
    <row r="38">
      <c r="A38" s="9" t="s">
        <v>671</v>
      </c>
      <c r="B38" s="1" t="s">
        <v>32</v>
      </c>
      <c r="C38" s="1" t="s">
        <v>32</v>
      </c>
      <c r="D38" s="1" t="s">
        <v>672</v>
      </c>
      <c r="E38" s="1" t="s">
        <v>32</v>
      </c>
      <c r="F38" s="1" t="s">
        <v>149</v>
      </c>
      <c r="G38" s="1">
        <v>1.0</v>
      </c>
      <c r="H38" s="1">
        <v>117.0</v>
      </c>
      <c r="K38" s="3">
        <v>45699.0</v>
      </c>
      <c r="O38" s="1" t="s">
        <v>32</v>
      </c>
      <c r="P38" s="1" t="s">
        <v>48</v>
      </c>
      <c r="Q38" s="1" t="s">
        <v>48</v>
      </c>
      <c r="R38" s="1" t="s">
        <v>453</v>
      </c>
      <c r="S38" s="1" t="s">
        <v>453</v>
      </c>
      <c r="AA38" s="1" t="s">
        <v>52</v>
      </c>
      <c r="AB38" s="1" t="s">
        <v>673</v>
      </c>
      <c r="AE38" s="1" t="s">
        <v>32</v>
      </c>
      <c r="AG38" s="1">
        <v>16.7683849</v>
      </c>
      <c r="AH38" s="1">
        <v>-62.2065692</v>
      </c>
      <c r="AJ38" s="1" t="s">
        <v>26</v>
      </c>
      <c r="AK38" s="1" t="s">
        <v>27</v>
      </c>
      <c r="AL38" s="1" t="s">
        <v>43</v>
      </c>
      <c r="AM38" s="1">
        <v>15.0</v>
      </c>
      <c r="AO38" s="1" t="s">
        <v>29</v>
      </c>
      <c r="AQ38" s="1" t="s">
        <v>30</v>
      </c>
      <c r="AT38" s="1" t="s">
        <v>674</v>
      </c>
      <c r="AX38" s="1">
        <v>20.0</v>
      </c>
    </row>
    <row r="39">
      <c r="A39" s="9" t="s">
        <v>217</v>
      </c>
      <c r="B39" s="1" t="s">
        <v>32</v>
      </c>
      <c r="C39" s="1" t="s">
        <v>32</v>
      </c>
      <c r="D39" s="1" t="s">
        <v>675</v>
      </c>
      <c r="E39" s="1" t="s">
        <v>32</v>
      </c>
      <c r="F39" s="1" t="s">
        <v>149</v>
      </c>
      <c r="G39" s="1">
        <v>1.0</v>
      </c>
      <c r="H39" s="79">
        <v>45880.0</v>
      </c>
      <c r="K39" s="3">
        <v>45699.0</v>
      </c>
      <c r="O39" s="1" t="s">
        <v>32</v>
      </c>
      <c r="P39" s="1" t="s">
        <v>48</v>
      </c>
      <c r="Q39" s="1" t="s">
        <v>48</v>
      </c>
      <c r="R39" s="1" t="s">
        <v>453</v>
      </c>
      <c r="S39" s="1" t="s">
        <v>453</v>
      </c>
      <c r="AA39" s="1" t="s">
        <v>52</v>
      </c>
      <c r="AB39" s="1" t="s">
        <v>218</v>
      </c>
      <c r="AE39" s="1" t="s">
        <v>32</v>
      </c>
      <c r="AG39" s="1">
        <v>16.7684507</v>
      </c>
      <c r="AH39" s="1">
        <v>-62.2065512</v>
      </c>
      <c r="AJ39" s="1" t="s">
        <v>26</v>
      </c>
      <c r="AK39" s="1" t="s">
        <v>27</v>
      </c>
      <c r="AL39" s="1" t="s">
        <v>43</v>
      </c>
      <c r="AM39" s="1">
        <v>15.0</v>
      </c>
      <c r="AO39" s="1" t="s">
        <v>29</v>
      </c>
      <c r="AQ39" s="1" t="s">
        <v>30</v>
      </c>
      <c r="AT39" s="1" t="s">
        <v>219</v>
      </c>
      <c r="AX39" s="1">
        <v>52.0</v>
      </c>
    </row>
    <row r="40">
      <c r="A40" s="9" t="s">
        <v>41</v>
      </c>
      <c r="B40" s="1" t="s">
        <v>32</v>
      </c>
      <c r="C40" s="1" t="s">
        <v>32</v>
      </c>
      <c r="D40" s="1" t="s">
        <v>676</v>
      </c>
      <c r="E40" s="1" t="s">
        <v>32</v>
      </c>
      <c r="F40" s="1" t="s">
        <v>40</v>
      </c>
      <c r="G40" s="1">
        <v>1.0</v>
      </c>
      <c r="H40" s="1" t="s">
        <v>677</v>
      </c>
      <c r="K40" s="3">
        <v>43125.0</v>
      </c>
      <c r="P40" s="1" t="s">
        <v>18</v>
      </c>
      <c r="Q40" s="1" t="s">
        <v>19</v>
      </c>
      <c r="T40" s="1" t="s">
        <v>453</v>
      </c>
      <c r="U40" s="1" t="s">
        <v>454</v>
      </c>
      <c r="V40" s="1" t="s">
        <v>455</v>
      </c>
      <c r="W40" s="1" t="s">
        <v>630</v>
      </c>
      <c r="X40" s="1" t="s">
        <v>22</v>
      </c>
      <c r="Y40" s="1" t="s">
        <v>23</v>
      </c>
      <c r="AA40" s="1" t="s">
        <v>25</v>
      </c>
      <c r="AB40" s="1" t="s">
        <v>42</v>
      </c>
      <c r="AE40" s="1" t="s">
        <v>32</v>
      </c>
      <c r="AG40" s="1">
        <v>16.7684416</v>
      </c>
      <c r="AH40" s="1">
        <v>-62.2065589</v>
      </c>
      <c r="AJ40" s="1" t="s">
        <v>26</v>
      </c>
      <c r="AK40" s="1" t="s">
        <v>27</v>
      </c>
      <c r="AL40" s="1" t="s">
        <v>43</v>
      </c>
      <c r="AM40" s="1">
        <v>7.0</v>
      </c>
      <c r="AO40" s="1" t="s">
        <v>29</v>
      </c>
      <c r="AQ40" s="1" t="s">
        <v>30</v>
      </c>
      <c r="AT40" s="1" t="s">
        <v>44</v>
      </c>
      <c r="AX40" s="1">
        <v>22.0</v>
      </c>
    </row>
    <row r="41">
      <c r="A41" s="9" t="s">
        <v>34</v>
      </c>
      <c r="B41" s="1" t="s">
        <v>32</v>
      </c>
      <c r="C41" s="1" t="s">
        <v>32</v>
      </c>
      <c r="D41" s="1" t="s">
        <v>678</v>
      </c>
      <c r="E41" s="1" t="s">
        <v>32</v>
      </c>
      <c r="F41" s="1" t="s">
        <v>33</v>
      </c>
      <c r="G41" s="1">
        <v>1.0</v>
      </c>
      <c r="H41" s="1">
        <v>94.0</v>
      </c>
      <c r="K41" s="3">
        <v>43125.0</v>
      </c>
      <c r="P41" s="1" t="s">
        <v>18</v>
      </c>
      <c r="Q41" s="1" t="s">
        <v>19</v>
      </c>
      <c r="T41" s="1" t="s">
        <v>453</v>
      </c>
      <c r="U41" s="1" t="s">
        <v>454</v>
      </c>
      <c r="V41" s="1" t="s">
        <v>455</v>
      </c>
      <c r="W41" s="1" t="s">
        <v>630</v>
      </c>
      <c r="X41" s="1" t="s">
        <v>22</v>
      </c>
      <c r="Y41" s="1" t="s">
        <v>23</v>
      </c>
      <c r="AA41" s="1" t="s">
        <v>25</v>
      </c>
      <c r="AB41" s="1" t="s">
        <v>35</v>
      </c>
      <c r="AE41" s="1" t="s">
        <v>32</v>
      </c>
      <c r="AG41" s="1">
        <v>16.7684423</v>
      </c>
      <c r="AH41" s="1">
        <v>-62.206555</v>
      </c>
      <c r="AJ41" s="1" t="s">
        <v>26</v>
      </c>
      <c r="AK41" s="1" t="s">
        <v>27</v>
      </c>
      <c r="AL41" s="1" t="s">
        <v>36</v>
      </c>
      <c r="AM41" s="1">
        <v>12.0</v>
      </c>
      <c r="AO41" s="1" t="s">
        <v>29</v>
      </c>
      <c r="AQ41" s="1" t="s">
        <v>30</v>
      </c>
      <c r="AT41" s="1" t="s">
        <v>37</v>
      </c>
      <c r="AX41" s="1">
        <v>21.0</v>
      </c>
    </row>
    <row r="42">
      <c r="A42" s="9" t="s">
        <v>323</v>
      </c>
      <c r="B42" s="1" t="s">
        <v>32</v>
      </c>
      <c r="C42" s="1" t="s">
        <v>32</v>
      </c>
      <c r="D42" s="1" t="s">
        <v>679</v>
      </c>
      <c r="E42" s="1" t="s">
        <v>32</v>
      </c>
      <c r="F42" s="1" t="s">
        <v>149</v>
      </c>
      <c r="G42" s="1">
        <v>1.0</v>
      </c>
      <c r="H42" s="1">
        <v>11.2</v>
      </c>
      <c r="K42" s="3">
        <v>45699.0</v>
      </c>
      <c r="O42" s="1" t="s">
        <v>32</v>
      </c>
      <c r="P42" s="1" t="s">
        <v>48</v>
      </c>
      <c r="Q42" s="1" t="s">
        <v>48</v>
      </c>
      <c r="R42" s="1" t="s">
        <v>453</v>
      </c>
      <c r="S42" s="1" t="s">
        <v>453</v>
      </c>
      <c r="AA42" s="1" t="s">
        <v>52</v>
      </c>
      <c r="AB42" s="1" t="s">
        <v>315</v>
      </c>
      <c r="AE42" s="1" t="s">
        <v>32</v>
      </c>
      <c r="AG42" s="1">
        <v>16.768634</v>
      </c>
      <c r="AH42" s="1">
        <v>-62.2065125</v>
      </c>
      <c r="AJ42" s="1" t="s">
        <v>26</v>
      </c>
      <c r="AK42" s="1" t="s">
        <v>27</v>
      </c>
      <c r="AL42" s="1" t="s">
        <v>43</v>
      </c>
      <c r="AM42" s="1">
        <v>10.0</v>
      </c>
      <c r="AO42" s="1" t="s">
        <v>29</v>
      </c>
      <c r="AQ42" s="1" t="s">
        <v>30</v>
      </c>
      <c r="AT42" s="1" t="s">
        <v>324</v>
      </c>
      <c r="AX42" s="1">
        <v>102.0</v>
      </c>
    </row>
    <row r="43">
      <c r="A43" s="9" t="s">
        <v>314</v>
      </c>
      <c r="B43" s="1" t="s">
        <v>32</v>
      </c>
      <c r="C43" s="1" t="s">
        <v>32</v>
      </c>
      <c r="D43" s="1" t="s">
        <v>680</v>
      </c>
      <c r="E43" s="1" t="s">
        <v>32</v>
      </c>
      <c r="F43" s="1" t="s">
        <v>313</v>
      </c>
      <c r="G43" s="1">
        <v>1.0</v>
      </c>
      <c r="H43" s="1">
        <v>11.5</v>
      </c>
      <c r="K43" s="3">
        <v>45699.0</v>
      </c>
      <c r="O43" s="1" t="s">
        <v>32</v>
      </c>
      <c r="P43" s="1" t="s">
        <v>48</v>
      </c>
      <c r="Q43" s="1" t="s">
        <v>48</v>
      </c>
      <c r="R43" s="1" t="s">
        <v>453</v>
      </c>
      <c r="S43" s="1" t="s">
        <v>453</v>
      </c>
      <c r="AA43" s="1" t="s">
        <v>52</v>
      </c>
      <c r="AB43" s="1" t="s">
        <v>315</v>
      </c>
      <c r="AE43" s="1" t="s">
        <v>32</v>
      </c>
      <c r="AG43" s="1">
        <v>16.768643</v>
      </c>
      <c r="AH43" s="1">
        <v>-62.20652</v>
      </c>
      <c r="AJ43" s="1" t="s">
        <v>26</v>
      </c>
      <c r="AK43" s="1" t="s">
        <v>27</v>
      </c>
      <c r="AL43" s="1" t="s">
        <v>43</v>
      </c>
      <c r="AM43" s="1">
        <v>12.0</v>
      </c>
      <c r="AO43" s="1" t="s">
        <v>29</v>
      </c>
      <c r="AQ43" s="1" t="s">
        <v>30</v>
      </c>
      <c r="AT43" s="1" t="s">
        <v>316</v>
      </c>
      <c r="AX43" s="1">
        <v>91.0</v>
      </c>
    </row>
    <row r="44">
      <c r="A44" s="9" t="s">
        <v>327</v>
      </c>
      <c r="B44" s="1" t="s">
        <v>32</v>
      </c>
      <c r="C44" s="1" t="s">
        <v>32</v>
      </c>
      <c r="D44" s="1" t="s">
        <v>681</v>
      </c>
      <c r="E44" s="1" t="s">
        <v>32</v>
      </c>
      <c r="F44" s="1" t="s">
        <v>325</v>
      </c>
      <c r="G44" s="1">
        <v>1.0</v>
      </c>
      <c r="H44" s="1" t="s">
        <v>682</v>
      </c>
      <c r="K44" s="3">
        <v>45699.0</v>
      </c>
      <c r="O44" s="1" t="s">
        <v>32</v>
      </c>
      <c r="P44" s="1" t="s">
        <v>48</v>
      </c>
      <c r="Q44" s="1" t="s">
        <v>48</v>
      </c>
      <c r="R44" s="1" t="s">
        <v>453</v>
      </c>
      <c r="S44" s="1" t="s">
        <v>453</v>
      </c>
      <c r="AA44" s="1" t="s">
        <v>52</v>
      </c>
      <c r="AB44" s="1" t="s">
        <v>315</v>
      </c>
      <c r="AE44" s="1" t="s">
        <v>32</v>
      </c>
      <c r="AG44" s="1">
        <v>16.7686445</v>
      </c>
      <c r="AH44" s="1">
        <v>-62.2065208</v>
      </c>
      <c r="AJ44" s="1" t="s">
        <v>26</v>
      </c>
      <c r="AK44" s="1" t="s">
        <v>27</v>
      </c>
      <c r="AL44" s="1" t="s">
        <v>43</v>
      </c>
      <c r="AM44" s="1">
        <v>13.0</v>
      </c>
      <c r="AO44" s="1" t="s">
        <v>29</v>
      </c>
      <c r="AQ44" s="1" t="s">
        <v>30</v>
      </c>
      <c r="AT44" s="1" t="s">
        <v>328</v>
      </c>
      <c r="AX44" s="1">
        <v>103.0</v>
      </c>
    </row>
    <row r="45">
      <c r="A45" s="9" t="s">
        <v>86</v>
      </c>
      <c r="B45" s="1" t="s">
        <v>55</v>
      </c>
      <c r="C45" s="1" t="s">
        <v>55</v>
      </c>
      <c r="D45" s="1" t="s">
        <v>683</v>
      </c>
      <c r="E45" s="1" t="s">
        <v>55</v>
      </c>
      <c r="F45" s="1" t="s">
        <v>56</v>
      </c>
      <c r="G45" s="1">
        <v>1.0</v>
      </c>
      <c r="H45" s="1">
        <v>36.6</v>
      </c>
      <c r="K45" s="3">
        <v>45699.0</v>
      </c>
      <c r="O45" s="1" t="s">
        <v>55</v>
      </c>
      <c r="P45" s="1" t="s">
        <v>18</v>
      </c>
      <c r="Q45" s="1" t="s">
        <v>19</v>
      </c>
      <c r="T45" s="1" t="s">
        <v>453</v>
      </c>
      <c r="U45" s="1" t="s">
        <v>454</v>
      </c>
      <c r="V45" s="1" t="s">
        <v>455</v>
      </c>
      <c r="W45" s="1" t="s">
        <v>630</v>
      </c>
      <c r="X45" s="1" t="s">
        <v>22</v>
      </c>
      <c r="Y45" s="1" t="s">
        <v>23</v>
      </c>
      <c r="AA45" s="1" t="s">
        <v>25</v>
      </c>
      <c r="AB45" s="1" t="s">
        <v>87</v>
      </c>
      <c r="AE45" s="1" t="s">
        <v>55</v>
      </c>
      <c r="AG45" s="1">
        <v>16.76868998</v>
      </c>
      <c r="AH45" s="1">
        <v>-62.20654937</v>
      </c>
      <c r="AJ45" s="1" t="s">
        <v>26</v>
      </c>
      <c r="AK45" s="1" t="s">
        <v>27</v>
      </c>
      <c r="AL45" s="1" t="s">
        <v>59</v>
      </c>
      <c r="AM45" s="1">
        <v>27.0</v>
      </c>
      <c r="AO45" s="1" t="s">
        <v>29</v>
      </c>
      <c r="AQ45" s="1" t="s">
        <v>59</v>
      </c>
      <c r="AT45" s="1" t="s">
        <v>88</v>
      </c>
      <c r="AX45" s="1">
        <v>29.0</v>
      </c>
    </row>
    <row r="46">
      <c r="A46" s="9" t="s">
        <v>83</v>
      </c>
      <c r="B46" s="1" t="s">
        <v>55</v>
      </c>
      <c r="C46" s="1" t="s">
        <v>55</v>
      </c>
      <c r="D46" s="1" t="s">
        <v>684</v>
      </c>
      <c r="E46" s="1" t="s">
        <v>55</v>
      </c>
      <c r="F46" s="1" t="s">
        <v>56</v>
      </c>
      <c r="G46" s="1">
        <v>1.0</v>
      </c>
      <c r="H46" s="1" t="s">
        <v>685</v>
      </c>
      <c r="K46" s="3">
        <v>45699.0</v>
      </c>
      <c r="O46" s="1" t="s">
        <v>55</v>
      </c>
      <c r="P46" s="1" t="s">
        <v>78</v>
      </c>
      <c r="Q46" s="1" t="s">
        <v>497</v>
      </c>
      <c r="T46" s="1" t="s">
        <v>453</v>
      </c>
      <c r="U46" s="1" t="s">
        <v>454</v>
      </c>
      <c r="V46" s="1" t="s">
        <v>455</v>
      </c>
      <c r="W46" s="1" t="s">
        <v>499</v>
      </c>
      <c r="X46" s="1" t="s">
        <v>81</v>
      </c>
      <c r="Y46" s="1" t="s">
        <v>82</v>
      </c>
      <c r="AA46" s="1" t="s">
        <v>25</v>
      </c>
      <c r="AB46" s="1" t="s">
        <v>84</v>
      </c>
      <c r="AE46" s="1" t="s">
        <v>55</v>
      </c>
      <c r="AG46" s="1">
        <v>16.76875133</v>
      </c>
      <c r="AH46" s="1">
        <v>-62.20662489</v>
      </c>
      <c r="AJ46" s="1" t="s">
        <v>26</v>
      </c>
      <c r="AK46" s="1" t="s">
        <v>27</v>
      </c>
      <c r="AL46" s="1" t="s">
        <v>59</v>
      </c>
      <c r="AM46" s="1">
        <v>27.0</v>
      </c>
      <c r="AO46" s="1" t="s">
        <v>29</v>
      </c>
      <c r="AQ46" s="1" t="s">
        <v>59</v>
      </c>
      <c r="AT46" s="1" t="s">
        <v>85</v>
      </c>
      <c r="AX46" s="1">
        <v>27.0</v>
      </c>
    </row>
    <row r="47">
      <c r="A47" s="9" t="s">
        <v>92</v>
      </c>
      <c r="B47" s="1" t="s">
        <v>55</v>
      </c>
      <c r="C47" s="1" t="s">
        <v>55</v>
      </c>
      <c r="D47" s="1" t="s">
        <v>686</v>
      </c>
      <c r="E47" s="1" t="s">
        <v>55</v>
      </c>
      <c r="F47" s="1" t="s">
        <v>56</v>
      </c>
      <c r="G47" s="1">
        <v>1.0</v>
      </c>
      <c r="H47" s="1">
        <v>13.3</v>
      </c>
      <c r="K47" s="3">
        <v>45699.0</v>
      </c>
      <c r="O47" s="1" t="s">
        <v>55</v>
      </c>
      <c r="P47" s="1" t="s">
        <v>167</v>
      </c>
      <c r="Q47" s="1" t="s">
        <v>687</v>
      </c>
      <c r="T47" s="1" t="s">
        <v>453</v>
      </c>
      <c r="U47" s="1" t="s">
        <v>454</v>
      </c>
      <c r="V47" s="1" t="s">
        <v>455</v>
      </c>
      <c r="W47" s="1" t="s">
        <v>688</v>
      </c>
      <c r="X47" s="1" t="s">
        <v>90</v>
      </c>
      <c r="Y47" s="1" t="s">
        <v>91</v>
      </c>
      <c r="AA47" s="1" t="s">
        <v>25</v>
      </c>
      <c r="AB47" s="1" t="s">
        <v>93</v>
      </c>
      <c r="AE47" s="1" t="s">
        <v>55</v>
      </c>
      <c r="AG47" s="1">
        <v>16.76875133</v>
      </c>
      <c r="AH47" s="1">
        <v>-62.20662489</v>
      </c>
      <c r="AJ47" s="1" t="s">
        <v>26</v>
      </c>
      <c r="AK47" s="1" t="s">
        <v>27</v>
      </c>
      <c r="AL47" s="1" t="s">
        <v>59</v>
      </c>
      <c r="AM47" s="1">
        <v>27.0</v>
      </c>
      <c r="AO47" s="1" t="s">
        <v>29</v>
      </c>
      <c r="AQ47" s="1" t="s">
        <v>59</v>
      </c>
      <c r="AT47" s="1" t="s">
        <v>85</v>
      </c>
      <c r="AX47" s="1">
        <v>30.0</v>
      </c>
    </row>
    <row r="48">
      <c r="A48" s="9" t="s">
        <v>57</v>
      </c>
      <c r="B48" s="1" t="s">
        <v>55</v>
      </c>
      <c r="C48" s="1" t="s">
        <v>55</v>
      </c>
      <c r="D48" s="1" t="s">
        <v>689</v>
      </c>
      <c r="E48" s="1" t="s">
        <v>55</v>
      </c>
      <c r="F48" s="1" t="s">
        <v>56</v>
      </c>
      <c r="G48" s="1">
        <v>1.0</v>
      </c>
      <c r="H48" s="1">
        <v>37.0</v>
      </c>
      <c r="K48" s="3">
        <v>45699.0</v>
      </c>
      <c r="O48" s="1" t="s">
        <v>55</v>
      </c>
      <c r="P48" s="1" t="s">
        <v>18</v>
      </c>
      <c r="Q48" s="1" t="s">
        <v>19</v>
      </c>
      <c r="T48" s="1" t="s">
        <v>453</v>
      </c>
      <c r="U48" s="1" t="s">
        <v>454</v>
      </c>
      <c r="V48" s="1" t="s">
        <v>455</v>
      </c>
      <c r="W48" s="1" t="s">
        <v>630</v>
      </c>
      <c r="X48" s="1" t="s">
        <v>22</v>
      </c>
      <c r="Y48" s="1" t="s">
        <v>23</v>
      </c>
      <c r="AA48" s="1" t="s">
        <v>25</v>
      </c>
      <c r="AB48" s="1" t="s">
        <v>58</v>
      </c>
      <c r="AE48" s="1" t="s">
        <v>55</v>
      </c>
      <c r="AG48" s="1">
        <v>16.76860754</v>
      </c>
      <c r="AH48" s="1">
        <v>-62.20657107</v>
      </c>
      <c r="AJ48" s="1" t="s">
        <v>26</v>
      </c>
      <c r="AK48" s="1" t="s">
        <v>27</v>
      </c>
      <c r="AL48" s="1" t="s">
        <v>59</v>
      </c>
      <c r="AM48" s="1">
        <v>6.0</v>
      </c>
      <c r="AO48" s="1" t="s">
        <v>29</v>
      </c>
      <c r="AQ48" s="1" t="s">
        <v>59</v>
      </c>
      <c r="AT48" s="1" t="s">
        <v>60</v>
      </c>
      <c r="AX48" s="1">
        <v>24.0</v>
      </c>
    </row>
    <row r="49">
      <c r="A49" s="9" t="s">
        <v>296</v>
      </c>
      <c r="B49" s="1" t="s">
        <v>55</v>
      </c>
      <c r="C49" s="1" t="s">
        <v>55</v>
      </c>
      <c r="D49" s="1" t="s">
        <v>690</v>
      </c>
      <c r="E49" s="1" t="s">
        <v>55</v>
      </c>
      <c r="F49" s="1" t="s">
        <v>56</v>
      </c>
      <c r="G49" s="1">
        <v>1.0</v>
      </c>
      <c r="H49" s="1">
        <v>4.4</v>
      </c>
      <c r="K49" s="3">
        <v>45699.0</v>
      </c>
      <c r="O49" s="1" t="s">
        <v>55</v>
      </c>
      <c r="P49" s="1" t="s">
        <v>127</v>
      </c>
      <c r="Q49" s="1" t="s">
        <v>128</v>
      </c>
      <c r="T49" s="1" t="s">
        <v>453</v>
      </c>
      <c r="U49" s="1" t="s">
        <v>454</v>
      </c>
      <c r="V49" s="1" t="s">
        <v>455</v>
      </c>
      <c r="W49" s="1" t="s">
        <v>626</v>
      </c>
      <c r="X49" s="1" t="s">
        <v>213</v>
      </c>
      <c r="Y49" s="1" t="s">
        <v>214</v>
      </c>
      <c r="AA49" s="1" t="s">
        <v>25</v>
      </c>
      <c r="AB49" s="1" t="s">
        <v>297</v>
      </c>
      <c r="AE49" s="1" t="s">
        <v>55</v>
      </c>
      <c r="AF49" s="1" t="s">
        <v>59</v>
      </c>
      <c r="AG49" s="1">
        <v>16.75909334</v>
      </c>
      <c r="AH49" s="1">
        <v>-62.21071064</v>
      </c>
      <c r="AJ49" s="1" t="s">
        <v>26</v>
      </c>
      <c r="AK49" s="1" t="s">
        <v>27</v>
      </c>
      <c r="AL49" s="1" t="s">
        <v>59</v>
      </c>
      <c r="AO49" s="1" t="s">
        <v>29</v>
      </c>
      <c r="AQ49" s="1" t="s">
        <v>59</v>
      </c>
      <c r="AT49" s="1" t="s">
        <v>298</v>
      </c>
      <c r="AX49" s="1">
        <v>66.0</v>
      </c>
    </row>
    <row r="50">
      <c r="A50" s="9" t="s">
        <v>106</v>
      </c>
      <c r="B50" s="1" t="s">
        <v>55</v>
      </c>
      <c r="C50" s="1" t="s">
        <v>55</v>
      </c>
      <c r="D50" s="1" t="s">
        <v>691</v>
      </c>
      <c r="E50" s="1" t="s">
        <v>55</v>
      </c>
      <c r="F50" s="1" t="s">
        <v>56</v>
      </c>
      <c r="G50" s="1">
        <v>1.0</v>
      </c>
      <c r="H50" s="1">
        <v>13.3</v>
      </c>
      <c r="K50" s="3">
        <v>45699.0</v>
      </c>
      <c r="O50" s="1" t="s">
        <v>55</v>
      </c>
      <c r="P50" s="1" t="s">
        <v>102</v>
      </c>
      <c r="Q50" s="1" t="s">
        <v>103</v>
      </c>
      <c r="T50" s="1" t="s">
        <v>453</v>
      </c>
      <c r="U50" s="1" t="s">
        <v>454</v>
      </c>
      <c r="V50" s="1" t="s">
        <v>455</v>
      </c>
      <c r="W50" s="1" t="s">
        <v>617</v>
      </c>
      <c r="X50" s="1" t="s">
        <v>104</v>
      </c>
      <c r="Y50" s="1" t="s">
        <v>105</v>
      </c>
      <c r="AA50" s="1" t="s">
        <v>25</v>
      </c>
      <c r="AB50" s="1" t="s">
        <v>107</v>
      </c>
      <c r="AE50" s="1" t="s">
        <v>55</v>
      </c>
      <c r="AF50" s="1" t="s">
        <v>59</v>
      </c>
      <c r="AG50" s="1">
        <v>16.76860255</v>
      </c>
      <c r="AH50" s="1">
        <v>-62.20650176</v>
      </c>
      <c r="AJ50" s="1" t="s">
        <v>26</v>
      </c>
      <c r="AK50" s="1" t="s">
        <v>27</v>
      </c>
      <c r="AL50" s="1" t="s">
        <v>59</v>
      </c>
      <c r="AO50" s="1" t="s">
        <v>29</v>
      </c>
      <c r="AQ50" s="1" t="s">
        <v>59</v>
      </c>
      <c r="AT50" s="1" t="s">
        <v>108</v>
      </c>
      <c r="AX50" s="1">
        <v>33.0</v>
      </c>
    </row>
    <row r="51">
      <c r="A51" s="9" t="s">
        <v>164</v>
      </c>
      <c r="B51" s="1" t="s">
        <v>55</v>
      </c>
      <c r="C51" s="1" t="s">
        <v>55</v>
      </c>
      <c r="D51" s="1" t="s">
        <v>692</v>
      </c>
      <c r="E51" s="1" t="s">
        <v>55</v>
      </c>
      <c r="F51" s="1" t="s">
        <v>56</v>
      </c>
      <c r="G51" s="1">
        <v>1.0</v>
      </c>
      <c r="H51" s="1">
        <v>14.9</v>
      </c>
      <c r="K51" s="3">
        <v>45699.0</v>
      </c>
      <c r="O51" s="1" t="s">
        <v>55</v>
      </c>
      <c r="P51" s="1" t="s">
        <v>159</v>
      </c>
      <c r="Q51" s="1" t="s">
        <v>160</v>
      </c>
      <c r="T51" s="1" t="s">
        <v>453</v>
      </c>
      <c r="U51" s="1" t="s">
        <v>454</v>
      </c>
      <c r="V51" s="1" t="s">
        <v>455</v>
      </c>
      <c r="W51" s="1" t="s">
        <v>645</v>
      </c>
      <c r="X51" s="1" t="s">
        <v>74</v>
      </c>
      <c r="Y51" s="1" t="s">
        <v>75</v>
      </c>
      <c r="AA51" s="1" t="s">
        <v>25</v>
      </c>
      <c r="AB51" s="1" t="s">
        <v>165</v>
      </c>
      <c r="AE51" s="1" t="s">
        <v>55</v>
      </c>
      <c r="AF51" s="1" t="s">
        <v>59</v>
      </c>
      <c r="AG51" s="1">
        <v>16.76842779</v>
      </c>
      <c r="AH51" s="1">
        <v>-62.20647493</v>
      </c>
      <c r="AJ51" s="1" t="s">
        <v>26</v>
      </c>
      <c r="AK51" s="1" t="s">
        <v>27</v>
      </c>
      <c r="AL51" s="1" t="s">
        <v>59</v>
      </c>
      <c r="AO51" s="1" t="s">
        <v>29</v>
      </c>
      <c r="AQ51" s="1" t="s">
        <v>59</v>
      </c>
      <c r="AT51" s="1" t="s">
        <v>166</v>
      </c>
      <c r="AX51" s="1">
        <v>43.0</v>
      </c>
    </row>
    <row r="52">
      <c r="A52" s="9" t="s">
        <v>693</v>
      </c>
      <c r="B52" s="1" t="s">
        <v>55</v>
      </c>
      <c r="C52" s="1" t="s">
        <v>55</v>
      </c>
      <c r="D52" s="1" t="s">
        <v>694</v>
      </c>
      <c r="E52" s="1" t="s">
        <v>55</v>
      </c>
      <c r="F52" s="1" t="s">
        <v>73</v>
      </c>
      <c r="G52" s="1">
        <v>1.0</v>
      </c>
      <c r="H52" s="1" t="s">
        <v>695</v>
      </c>
      <c r="K52" s="3">
        <v>45699.0</v>
      </c>
      <c r="O52" s="1" t="s">
        <v>55</v>
      </c>
      <c r="P52" s="1" t="s">
        <v>18</v>
      </c>
      <c r="Q52" s="1" t="s">
        <v>19</v>
      </c>
      <c r="T52" s="1" t="s">
        <v>453</v>
      </c>
      <c r="U52" s="1" t="s">
        <v>454</v>
      </c>
      <c r="V52" s="1" t="s">
        <v>455</v>
      </c>
      <c r="W52" s="1" t="s">
        <v>630</v>
      </c>
      <c r="X52" s="1" t="s">
        <v>22</v>
      </c>
      <c r="Y52" s="1" t="s">
        <v>23</v>
      </c>
      <c r="AA52" s="1" t="s">
        <v>25</v>
      </c>
      <c r="AB52" s="1" t="s">
        <v>696</v>
      </c>
      <c r="AE52" s="1" t="s">
        <v>55</v>
      </c>
      <c r="AF52" s="1" t="s">
        <v>59</v>
      </c>
      <c r="AG52" s="1">
        <v>16.76862103</v>
      </c>
      <c r="AH52" s="1">
        <v>-62.20655917</v>
      </c>
      <c r="AJ52" s="1" t="s">
        <v>26</v>
      </c>
      <c r="AK52" s="1" t="s">
        <v>27</v>
      </c>
      <c r="AL52" s="1" t="s">
        <v>59</v>
      </c>
      <c r="AO52" s="1" t="s">
        <v>29</v>
      </c>
      <c r="AQ52" s="1" t="s">
        <v>59</v>
      </c>
      <c r="AT52" s="1" t="s">
        <v>697</v>
      </c>
      <c r="AX52" s="1">
        <v>24.0</v>
      </c>
    </row>
    <row r="53">
      <c r="A53" s="9" t="s">
        <v>94</v>
      </c>
      <c r="B53" s="1" t="s">
        <v>55</v>
      </c>
      <c r="C53" s="1" t="s">
        <v>55</v>
      </c>
      <c r="D53" s="1" t="s">
        <v>698</v>
      </c>
      <c r="E53" s="1" t="s">
        <v>55</v>
      </c>
      <c r="F53" s="1" t="s">
        <v>73</v>
      </c>
      <c r="G53" s="1">
        <v>1.0</v>
      </c>
      <c r="H53" s="1">
        <v>30.0</v>
      </c>
      <c r="K53" s="3">
        <v>45699.0</v>
      </c>
      <c r="O53" s="1" t="s">
        <v>55</v>
      </c>
      <c r="P53" s="1" t="s">
        <v>71</v>
      </c>
      <c r="Q53" s="1" t="s">
        <v>259</v>
      </c>
      <c r="T53" s="1" t="s">
        <v>453</v>
      </c>
      <c r="U53" s="1" t="s">
        <v>454</v>
      </c>
      <c r="V53" s="1" t="s">
        <v>455</v>
      </c>
      <c r="W53" s="1" t="s">
        <v>645</v>
      </c>
      <c r="X53" s="1" t="s">
        <v>74</v>
      </c>
      <c r="Y53" s="1" t="s">
        <v>75</v>
      </c>
      <c r="AA53" s="1" t="s">
        <v>25</v>
      </c>
      <c r="AB53" s="1" t="s">
        <v>95</v>
      </c>
      <c r="AE53" s="1" t="s">
        <v>55</v>
      </c>
      <c r="AG53" s="1">
        <v>16.76862233</v>
      </c>
      <c r="AH53" s="1">
        <v>-62.20666026</v>
      </c>
      <c r="AJ53" s="1" t="s">
        <v>26</v>
      </c>
      <c r="AK53" s="1" t="s">
        <v>27</v>
      </c>
      <c r="AL53" s="1" t="s">
        <v>59</v>
      </c>
      <c r="AM53" s="1">
        <v>14.0</v>
      </c>
      <c r="AO53" s="1" t="s">
        <v>29</v>
      </c>
      <c r="AQ53" s="1" t="s">
        <v>59</v>
      </c>
      <c r="AT53" s="1" t="s">
        <v>96</v>
      </c>
      <c r="AX53" s="1">
        <v>31.0</v>
      </c>
    </row>
    <row r="54">
      <c r="A54" s="9" t="s">
        <v>187</v>
      </c>
      <c r="B54" s="1" t="s">
        <v>55</v>
      </c>
      <c r="C54" s="1" t="s">
        <v>55</v>
      </c>
      <c r="D54" s="1" t="s">
        <v>699</v>
      </c>
      <c r="E54" s="1" t="s">
        <v>55</v>
      </c>
      <c r="F54" s="1" t="s">
        <v>73</v>
      </c>
      <c r="G54" s="1">
        <v>1.0</v>
      </c>
      <c r="H54" s="1">
        <v>17.0</v>
      </c>
      <c r="K54" s="3">
        <v>45699.0</v>
      </c>
      <c r="O54" s="1" t="s">
        <v>55</v>
      </c>
      <c r="P54" s="1" t="s">
        <v>178</v>
      </c>
      <c r="Q54" s="1" t="s">
        <v>179</v>
      </c>
      <c r="T54" s="1" t="s">
        <v>453</v>
      </c>
      <c r="U54" s="1" t="s">
        <v>454</v>
      </c>
      <c r="V54" s="1" t="s">
        <v>455</v>
      </c>
      <c r="W54" s="1" t="s">
        <v>617</v>
      </c>
      <c r="X54" s="1" t="s">
        <v>182</v>
      </c>
      <c r="Y54" s="1" t="s">
        <v>183</v>
      </c>
      <c r="AA54" s="1" t="s">
        <v>25</v>
      </c>
      <c r="AB54" s="1" t="s">
        <v>188</v>
      </c>
      <c r="AE54" s="1" t="s">
        <v>55</v>
      </c>
      <c r="AF54" s="1" t="s">
        <v>59</v>
      </c>
      <c r="AG54" s="1">
        <v>16.76873096</v>
      </c>
      <c r="AH54" s="1">
        <v>-62.20646186</v>
      </c>
      <c r="AJ54" s="1" t="s">
        <v>26</v>
      </c>
      <c r="AK54" s="1" t="s">
        <v>27</v>
      </c>
      <c r="AL54" s="1" t="s">
        <v>59</v>
      </c>
      <c r="AM54" s="1">
        <v>5.0</v>
      </c>
      <c r="AO54" s="1" t="s">
        <v>29</v>
      </c>
      <c r="AQ54" s="1" t="s">
        <v>59</v>
      </c>
      <c r="AT54" s="1" t="s">
        <v>189</v>
      </c>
      <c r="AX54" s="1">
        <v>47.0</v>
      </c>
    </row>
    <row r="55">
      <c r="A55" s="9" t="s">
        <v>76</v>
      </c>
      <c r="B55" s="1" t="s">
        <v>55</v>
      </c>
      <c r="C55" s="1" t="s">
        <v>55</v>
      </c>
      <c r="D55" s="1" t="s">
        <v>700</v>
      </c>
      <c r="E55" s="1" t="s">
        <v>55</v>
      </c>
      <c r="F55" s="1" t="s">
        <v>73</v>
      </c>
      <c r="G55" s="1">
        <v>1.0</v>
      </c>
      <c r="H55" s="1">
        <v>36.2</v>
      </c>
      <c r="K55" s="3">
        <v>45699.0</v>
      </c>
      <c r="O55" s="1" t="s">
        <v>55</v>
      </c>
      <c r="P55" s="1" t="s">
        <v>71</v>
      </c>
      <c r="Q55" s="1" t="s">
        <v>259</v>
      </c>
      <c r="T55" s="1" t="s">
        <v>453</v>
      </c>
      <c r="U55" s="1" t="s">
        <v>454</v>
      </c>
      <c r="V55" s="1" t="s">
        <v>455</v>
      </c>
      <c r="W55" s="1" t="s">
        <v>645</v>
      </c>
      <c r="X55" s="1" t="s">
        <v>74</v>
      </c>
      <c r="Y55" s="1" t="s">
        <v>75</v>
      </c>
      <c r="AA55" s="1" t="s">
        <v>25</v>
      </c>
      <c r="AB55" s="1" t="s">
        <v>77</v>
      </c>
      <c r="AE55" s="1" t="s">
        <v>55</v>
      </c>
      <c r="AG55" s="1">
        <v>16.76860754</v>
      </c>
      <c r="AH55" s="1">
        <v>-62.20657107</v>
      </c>
      <c r="AJ55" s="1" t="s">
        <v>26</v>
      </c>
      <c r="AK55" s="1" t="s">
        <v>27</v>
      </c>
      <c r="AL55" s="1" t="s">
        <v>59</v>
      </c>
      <c r="AM55" s="1">
        <v>6.0</v>
      </c>
      <c r="AO55" s="1" t="s">
        <v>29</v>
      </c>
      <c r="AQ55" s="1" t="s">
        <v>59</v>
      </c>
      <c r="AT55" s="1" t="s">
        <v>60</v>
      </c>
      <c r="AX55" s="1">
        <v>26.0</v>
      </c>
    </row>
    <row r="56">
      <c r="A56" s="9" t="s">
        <v>244</v>
      </c>
      <c r="B56" s="1" t="s">
        <v>55</v>
      </c>
      <c r="C56" s="1" t="s">
        <v>55</v>
      </c>
      <c r="D56" s="1" t="s">
        <v>701</v>
      </c>
      <c r="E56" s="1" t="s">
        <v>55</v>
      </c>
      <c r="F56" s="1" t="s">
        <v>73</v>
      </c>
      <c r="G56" s="1">
        <v>1.0</v>
      </c>
      <c r="H56" s="1">
        <v>15.6</v>
      </c>
      <c r="K56" s="3">
        <v>45699.0</v>
      </c>
      <c r="O56" s="1" t="s">
        <v>55</v>
      </c>
      <c r="P56" s="1" t="s">
        <v>102</v>
      </c>
      <c r="Q56" s="1" t="s">
        <v>103</v>
      </c>
      <c r="T56" s="1" t="s">
        <v>453</v>
      </c>
      <c r="U56" s="1" t="s">
        <v>454</v>
      </c>
      <c r="V56" s="1" t="s">
        <v>455</v>
      </c>
      <c r="W56" s="1" t="s">
        <v>617</v>
      </c>
      <c r="X56" s="1" t="s">
        <v>104</v>
      </c>
      <c r="Y56" s="1" t="s">
        <v>105</v>
      </c>
      <c r="AA56" s="1" t="s">
        <v>25</v>
      </c>
      <c r="AB56" s="1" t="s">
        <v>245</v>
      </c>
      <c r="AE56" s="1" t="s">
        <v>55</v>
      </c>
      <c r="AF56" s="1" t="s">
        <v>59</v>
      </c>
      <c r="AG56" s="1">
        <v>16.76856978</v>
      </c>
      <c r="AH56" s="1">
        <v>-62.20635574</v>
      </c>
      <c r="AJ56" s="1" t="s">
        <v>26</v>
      </c>
      <c r="AK56" s="1" t="s">
        <v>27</v>
      </c>
      <c r="AL56" s="1" t="s">
        <v>59</v>
      </c>
      <c r="AO56" s="1" t="s">
        <v>29</v>
      </c>
      <c r="AQ56" s="1" t="s">
        <v>59</v>
      </c>
      <c r="AT56" s="1" t="s">
        <v>246</v>
      </c>
      <c r="AX56" s="1">
        <v>56.0</v>
      </c>
    </row>
    <row r="57">
      <c r="A57" s="9" t="s">
        <v>303</v>
      </c>
      <c r="B57" s="1" t="s">
        <v>55</v>
      </c>
      <c r="C57" s="1" t="s">
        <v>55</v>
      </c>
      <c r="D57" s="1" t="s">
        <v>702</v>
      </c>
      <c r="E57" s="1" t="s">
        <v>55</v>
      </c>
      <c r="F57" s="1" t="s">
        <v>302</v>
      </c>
      <c r="G57" s="1">
        <v>1.0</v>
      </c>
      <c r="H57" s="1">
        <v>25.2</v>
      </c>
      <c r="K57" s="3">
        <v>45699.0</v>
      </c>
      <c r="O57" s="1" t="s">
        <v>55</v>
      </c>
      <c r="P57" s="1" t="s">
        <v>78</v>
      </c>
      <c r="Q57" s="1" t="s">
        <v>497</v>
      </c>
      <c r="T57" s="1" t="s">
        <v>453</v>
      </c>
      <c r="U57" s="1" t="s">
        <v>454</v>
      </c>
      <c r="V57" s="1" t="s">
        <v>455</v>
      </c>
      <c r="W57" s="1" t="s">
        <v>499</v>
      </c>
      <c r="X57" s="1" t="s">
        <v>81</v>
      </c>
      <c r="Y57" s="1" t="s">
        <v>82</v>
      </c>
      <c r="AA57" s="1" t="s">
        <v>25</v>
      </c>
      <c r="AB57" s="1" t="s">
        <v>304</v>
      </c>
      <c r="AE57" s="1" t="s">
        <v>55</v>
      </c>
      <c r="AF57" s="1" t="s">
        <v>59</v>
      </c>
      <c r="AG57" s="1">
        <v>16.76865062</v>
      </c>
      <c r="AH57" s="1">
        <v>-62.20636454</v>
      </c>
      <c r="AJ57" s="1" t="s">
        <v>26</v>
      </c>
      <c r="AK57" s="1" t="s">
        <v>27</v>
      </c>
      <c r="AL57" s="1" t="s">
        <v>59</v>
      </c>
      <c r="AO57" s="1" t="s">
        <v>29</v>
      </c>
      <c r="AQ57" s="1" t="s">
        <v>59</v>
      </c>
      <c r="AT57" s="1" t="s">
        <v>305</v>
      </c>
      <c r="AX57" s="1">
        <v>68.0</v>
      </c>
    </row>
    <row r="58">
      <c r="A58" s="9" t="s">
        <v>65</v>
      </c>
      <c r="B58" s="1" t="s">
        <v>55</v>
      </c>
      <c r="C58" s="1" t="s">
        <v>55</v>
      </c>
      <c r="D58" s="1" t="s">
        <v>703</v>
      </c>
      <c r="E58" s="1" t="s">
        <v>32</v>
      </c>
      <c r="F58" s="1" t="s">
        <v>64</v>
      </c>
      <c r="G58" s="1">
        <v>1.0</v>
      </c>
      <c r="H58" s="1">
        <v>27.1</v>
      </c>
      <c r="K58" s="3">
        <v>45699.0</v>
      </c>
      <c r="O58" s="1" t="s">
        <v>55</v>
      </c>
      <c r="P58" s="1" t="s">
        <v>48</v>
      </c>
      <c r="Q58" s="1" t="s">
        <v>48</v>
      </c>
      <c r="R58" s="1" t="s">
        <v>453</v>
      </c>
      <c r="S58" s="1" t="s">
        <v>453</v>
      </c>
      <c r="AA58" s="1" t="s">
        <v>52</v>
      </c>
      <c r="AB58" s="3">
        <v>45699.0</v>
      </c>
      <c r="AC58" s="3">
        <v>45706.0</v>
      </c>
      <c r="AD58" s="1" t="s">
        <v>66</v>
      </c>
      <c r="AE58" s="1" t="s">
        <v>55</v>
      </c>
      <c r="AF58" s="1" t="s">
        <v>59</v>
      </c>
      <c r="AG58" s="1">
        <v>16.76852674</v>
      </c>
      <c r="AH58" s="1">
        <v>-62.20648558</v>
      </c>
      <c r="AJ58" s="1" t="s">
        <v>26</v>
      </c>
      <c r="AK58" s="1" t="s">
        <v>27</v>
      </c>
      <c r="AL58" s="1" t="s">
        <v>67</v>
      </c>
      <c r="AN58" s="1" t="s">
        <v>68</v>
      </c>
      <c r="AO58" s="1" t="s">
        <v>29</v>
      </c>
      <c r="AQ58" s="1" t="s">
        <v>59</v>
      </c>
      <c r="AT58" s="1" t="s">
        <v>69</v>
      </c>
      <c r="AX58" s="1">
        <v>25.0</v>
      </c>
    </row>
    <row r="59">
      <c r="A59" s="9" t="s">
        <v>704</v>
      </c>
      <c r="B59" s="1" t="s">
        <v>55</v>
      </c>
      <c r="C59" s="1" t="s">
        <v>55</v>
      </c>
      <c r="D59" s="1" t="s">
        <v>705</v>
      </c>
      <c r="E59" s="1" t="s">
        <v>32</v>
      </c>
      <c r="F59" s="1" t="s">
        <v>706</v>
      </c>
      <c r="G59" s="1">
        <v>1.0</v>
      </c>
      <c r="H59" s="1">
        <v>4.4</v>
      </c>
      <c r="K59" s="3">
        <v>45699.0</v>
      </c>
      <c r="O59" s="1" t="s">
        <v>55</v>
      </c>
      <c r="P59" s="1" t="s">
        <v>102</v>
      </c>
      <c r="Q59" s="1" t="s">
        <v>103</v>
      </c>
      <c r="T59" s="1" t="s">
        <v>453</v>
      </c>
      <c r="U59" s="1" t="s">
        <v>454</v>
      </c>
      <c r="V59" s="1" t="s">
        <v>455</v>
      </c>
      <c r="W59" s="1" t="s">
        <v>617</v>
      </c>
      <c r="X59" s="1" t="s">
        <v>104</v>
      </c>
      <c r="Y59" s="1" t="s">
        <v>105</v>
      </c>
      <c r="AA59" s="1" t="s">
        <v>25</v>
      </c>
      <c r="AB59" s="3">
        <v>45699.0</v>
      </c>
      <c r="AC59" s="3">
        <v>45706.0</v>
      </c>
      <c r="AD59" s="1" t="s">
        <v>66</v>
      </c>
      <c r="AE59" s="1" t="s">
        <v>55</v>
      </c>
      <c r="AF59" s="1" t="s">
        <v>59</v>
      </c>
      <c r="AG59" s="1">
        <v>16.76871106</v>
      </c>
      <c r="AH59" s="1">
        <v>-62.20647368</v>
      </c>
      <c r="AJ59" s="1" t="s">
        <v>26</v>
      </c>
      <c r="AK59" s="1" t="s">
        <v>27</v>
      </c>
      <c r="AL59" s="1" t="s">
        <v>707</v>
      </c>
      <c r="AN59" s="1" t="s">
        <v>68</v>
      </c>
      <c r="AO59" s="1" t="s">
        <v>29</v>
      </c>
      <c r="AQ59" s="1" t="s">
        <v>59</v>
      </c>
      <c r="AT59" s="1" t="s">
        <v>708</v>
      </c>
      <c r="AX59" s="1">
        <v>67.0</v>
      </c>
    </row>
    <row r="60">
      <c r="A60" s="9" t="s">
        <v>709</v>
      </c>
      <c r="B60" s="1" t="s">
        <v>55</v>
      </c>
      <c r="C60" s="1" t="s">
        <v>55</v>
      </c>
      <c r="D60" s="1" t="s">
        <v>710</v>
      </c>
      <c r="E60" s="1" t="s">
        <v>32</v>
      </c>
      <c r="F60" s="1" t="s">
        <v>711</v>
      </c>
      <c r="G60" s="1">
        <v>1.0</v>
      </c>
      <c r="H60" s="1">
        <v>13.8</v>
      </c>
      <c r="K60" s="3">
        <v>45699.0</v>
      </c>
      <c r="O60" s="1" t="s">
        <v>55</v>
      </c>
      <c r="P60" s="1" t="s">
        <v>18</v>
      </c>
      <c r="Q60" s="1" t="s">
        <v>19</v>
      </c>
      <c r="T60" s="1" t="s">
        <v>453</v>
      </c>
      <c r="U60" s="1" t="s">
        <v>454</v>
      </c>
      <c r="V60" s="1" t="s">
        <v>455</v>
      </c>
      <c r="W60" s="1" t="s">
        <v>630</v>
      </c>
      <c r="X60" s="1" t="s">
        <v>22</v>
      </c>
      <c r="Y60" s="1" t="s">
        <v>23</v>
      </c>
      <c r="AA60" s="1" t="s">
        <v>25</v>
      </c>
      <c r="AB60" s="3">
        <v>45699.0</v>
      </c>
      <c r="AC60" s="3">
        <v>45706.0</v>
      </c>
      <c r="AD60" s="1" t="s">
        <v>66</v>
      </c>
      <c r="AE60" s="1" t="s">
        <v>55</v>
      </c>
      <c r="AF60" s="1" t="s">
        <v>59</v>
      </c>
      <c r="AG60" s="1">
        <v>16.76859857</v>
      </c>
      <c r="AH60" s="1">
        <v>-62.20640394</v>
      </c>
      <c r="AJ60" s="1" t="s">
        <v>26</v>
      </c>
      <c r="AK60" s="1" t="s">
        <v>27</v>
      </c>
      <c r="AL60" s="1" t="s">
        <v>712</v>
      </c>
      <c r="AN60" s="1" t="s">
        <v>68</v>
      </c>
      <c r="AO60" s="1" t="s">
        <v>29</v>
      </c>
      <c r="AQ60" s="1" t="s">
        <v>59</v>
      </c>
      <c r="AT60" s="1" t="s">
        <v>713</v>
      </c>
      <c r="AX60" s="1">
        <v>59.0</v>
      </c>
    </row>
    <row r="61">
      <c r="A61" s="9" t="s">
        <v>169</v>
      </c>
      <c r="B61" s="1" t="s">
        <v>55</v>
      </c>
      <c r="C61" s="1" t="s">
        <v>55</v>
      </c>
      <c r="D61" s="1" t="s">
        <v>714</v>
      </c>
      <c r="E61" s="1" t="s">
        <v>32</v>
      </c>
      <c r="F61" s="1" t="s">
        <v>168</v>
      </c>
      <c r="G61" s="1">
        <v>1.0</v>
      </c>
      <c r="H61" s="1">
        <v>19.0</v>
      </c>
      <c r="K61" s="3">
        <v>45699.0</v>
      </c>
      <c r="O61" s="1" t="s">
        <v>55</v>
      </c>
      <c r="P61" s="1" t="s">
        <v>167</v>
      </c>
      <c r="Q61" s="1" t="s">
        <v>687</v>
      </c>
      <c r="T61" s="1" t="s">
        <v>453</v>
      </c>
      <c r="U61" s="1" t="s">
        <v>454</v>
      </c>
      <c r="V61" s="1" t="s">
        <v>455</v>
      </c>
      <c r="W61" s="1" t="s">
        <v>688</v>
      </c>
      <c r="X61" s="1" t="s">
        <v>90</v>
      </c>
      <c r="Y61" s="1" t="s">
        <v>91</v>
      </c>
      <c r="AA61" s="1" t="s">
        <v>25</v>
      </c>
      <c r="AB61" s="3">
        <v>45699.0</v>
      </c>
      <c r="AC61" s="3">
        <v>45706.0</v>
      </c>
      <c r="AD61" s="1" t="s">
        <v>66</v>
      </c>
      <c r="AE61" s="1" t="s">
        <v>55</v>
      </c>
      <c r="AF61" s="1" t="s">
        <v>59</v>
      </c>
      <c r="AG61" s="1">
        <v>16.76851991</v>
      </c>
      <c r="AH61" s="1">
        <v>-62.20646052</v>
      </c>
      <c r="AJ61" s="1" t="s">
        <v>26</v>
      </c>
      <c r="AK61" s="1" t="s">
        <v>27</v>
      </c>
      <c r="AL61" s="1" t="s">
        <v>170</v>
      </c>
      <c r="AN61" s="1" t="s">
        <v>68</v>
      </c>
      <c r="AO61" s="1" t="s">
        <v>29</v>
      </c>
      <c r="AQ61" s="1" t="s">
        <v>59</v>
      </c>
      <c r="AT61" s="1" t="s">
        <v>171</v>
      </c>
      <c r="AX61" s="1">
        <v>44.0</v>
      </c>
    </row>
    <row r="62">
      <c r="A62" s="9" t="s">
        <v>451</v>
      </c>
      <c r="B62" s="1" t="s">
        <v>32</v>
      </c>
      <c r="C62" s="1" t="s">
        <v>32</v>
      </c>
      <c r="D62" s="1" t="s">
        <v>715</v>
      </c>
      <c r="E62" s="1" t="s">
        <v>32</v>
      </c>
      <c r="F62" s="1" t="s">
        <v>716</v>
      </c>
      <c r="G62" s="1">
        <v>1.0</v>
      </c>
      <c r="H62" s="1">
        <v>9.5</v>
      </c>
      <c r="K62" s="3">
        <v>45702.0</v>
      </c>
      <c r="O62" s="1" t="s">
        <v>32</v>
      </c>
      <c r="P62" s="1" t="s">
        <v>433</v>
      </c>
      <c r="Q62" s="1" t="s">
        <v>450</v>
      </c>
      <c r="T62" s="1" t="s">
        <v>453</v>
      </c>
      <c r="U62" s="1" t="s">
        <v>454</v>
      </c>
      <c r="V62" s="1" t="s">
        <v>455</v>
      </c>
      <c r="W62" s="1" t="s">
        <v>456</v>
      </c>
      <c r="X62" s="1" t="s">
        <v>457</v>
      </c>
      <c r="Y62" s="1" t="s">
        <v>458</v>
      </c>
      <c r="AA62" s="1" t="s">
        <v>25</v>
      </c>
      <c r="AB62" s="1" t="s">
        <v>459</v>
      </c>
      <c r="AE62" s="1" t="s">
        <v>32</v>
      </c>
      <c r="AG62" s="1">
        <v>16.7723191</v>
      </c>
      <c r="AH62" s="1">
        <v>-62.1944082</v>
      </c>
      <c r="AJ62" s="1" t="s">
        <v>460</v>
      </c>
      <c r="AK62" s="1" t="s">
        <v>27</v>
      </c>
      <c r="AL62" s="1" t="s">
        <v>461</v>
      </c>
      <c r="AO62" s="1" t="s">
        <v>29</v>
      </c>
      <c r="AQ62" s="1" t="s">
        <v>30</v>
      </c>
      <c r="AT62" s="1" t="s">
        <v>462</v>
      </c>
      <c r="AX62" s="1">
        <v>69.0</v>
      </c>
    </row>
    <row r="63">
      <c r="A63" s="9" t="s">
        <v>518</v>
      </c>
      <c r="B63" s="1" t="s">
        <v>32</v>
      </c>
      <c r="C63" s="1" t="s">
        <v>32</v>
      </c>
      <c r="D63" s="1" t="s">
        <v>717</v>
      </c>
      <c r="E63" s="1" t="s">
        <v>32</v>
      </c>
      <c r="F63" s="1" t="s">
        <v>716</v>
      </c>
      <c r="G63" s="1">
        <v>1.0</v>
      </c>
      <c r="H63" s="1">
        <v>58.3</v>
      </c>
      <c r="K63" s="3">
        <v>45702.0</v>
      </c>
      <c r="O63" s="1" t="s">
        <v>32</v>
      </c>
      <c r="P63" s="1" t="s">
        <v>519</v>
      </c>
      <c r="Q63" s="1" t="s">
        <v>520</v>
      </c>
      <c r="T63" s="1" t="s">
        <v>453</v>
      </c>
      <c r="U63" s="1" t="s">
        <v>454</v>
      </c>
      <c r="V63" s="1" t="s">
        <v>455</v>
      </c>
      <c r="W63" s="1" t="s">
        <v>521</v>
      </c>
      <c r="X63" s="1" t="s">
        <v>145</v>
      </c>
      <c r="Y63" s="1" t="s">
        <v>146</v>
      </c>
      <c r="AA63" s="1" t="s">
        <v>25</v>
      </c>
      <c r="AB63" s="1" t="s">
        <v>522</v>
      </c>
      <c r="AE63" s="1" t="s">
        <v>32</v>
      </c>
      <c r="AG63" s="1">
        <v>16.7722172</v>
      </c>
      <c r="AH63" s="1">
        <v>-62.1942925</v>
      </c>
      <c r="AJ63" s="1" t="s">
        <v>460</v>
      </c>
      <c r="AK63" s="1" t="s">
        <v>27</v>
      </c>
      <c r="AL63" s="1" t="s">
        <v>461</v>
      </c>
      <c r="AO63" s="1" t="s">
        <v>29</v>
      </c>
      <c r="AQ63" s="1" t="s">
        <v>30</v>
      </c>
      <c r="AT63" s="1" t="s">
        <v>523</v>
      </c>
      <c r="AX63" s="1">
        <v>82.0</v>
      </c>
    </row>
    <row r="64">
      <c r="A64" s="9" t="s">
        <v>494</v>
      </c>
      <c r="B64" s="1" t="s">
        <v>32</v>
      </c>
      <c r="C64" s="1" t="s">
        <v>32</v>
      </c>
      <c r="D64" s="1" t="s">
        <v>718</v>
      </c>
      <c r="E64" s="1" t="s">
        <v>32</v>
      </c>
      <c r="F64" s="1" t="s">
        <v>716</v>
      </c>
      <c r="G64" s="1">
        <v>1.0</v>
      </c>
      <c r="H64" s="1" t="s">
        <v>719</v>
      </c>
      <c r="K64" s="3">
        <v>45702.0</v>
      </c>
      <c r="O64" s="1" t="s">
        <v>32</v>
      </c>
      <c r="P64" s="1" t="s">
        <v>48</v>
      </c>
      <c r="Q64" s="1" t="s">
        <v>48</v>
      </c>
      <c r="R64" s="1" t="s">
        <v>453</v>
      </c>
      <c r="S64" s="1" t="s">
        <v>453</v>
      </c>
      <c r="AA64" s="1" t="s">
        <v>52</v>
      </c>
      <c r="AB64" s="1" t="s">
        <v>495</v>
      </c>
      <c r="AE64" s="1" t="s">
        <v>32</v>
      </c>
      <c r="AG64" s="1">
        <v>16.7724235</v>
      </c>
      <c r="AH64" s="1">
        <v>-62.194519</v>
      </c>
      <c r="AJ64" s="1" t="s">
        <v>460</v>
      </c>
      <c r="AK64" s="1" t="s">
        <v>27</v>
      </c>
      <c r="AL64" s="1" t="s">
        <v>461</v>
      </c>
      <c r="AM64" s="1">
        <v>10.0</v>
      </c>
      <c r="AO64" s="1" t="s">
        <v>29</v>
      </c>
      <c r="AQ64" s="1" t="s">
        <v>30</v>
      </c>
      <c r="AT64" s="1" t="s">
        <v>496</v>
      </c>
      <c r="AX64" s="1">
        <v>75.0</v>
      </c>
    </row>
    <row r="65">
      <c r="A65" s="9" t="s">
        <v>532</v>
      </c>
      <c r="B65" s="1" t="s">
        <v>32</v>
      </c>
      <c r="C65" s="1" t="s">
        <v>32</v>
      </c>
      <c r="D65" s="1" t="s">
        <v>720</v>
      </c>
      <c r="E65" s="1" t="s">
        <v>32</v>
      </c>
      <c r="F65" s="1" t="s">
        <v>716</v>
      </c>
      <c r="G65" s="1">
        <v>1.0</v>
      </c>
      <c r="H65" s="1">
        <v>15.0</v>
      </c>
      <c r="K65" s="3">
        <v>45702.0</v>
      </c>
      <c r="O65" s="1" t="s">
        <v>32</v>
      </c>
      <c r="P65" s="1" t="s">
        <v>343</v>
      </c>
      <c r="Q65" s="1" t="s">
        <v>531</v>
      </c>
      <c r="T65" s="1" t="s">
        <v>453</v>
      </c>
      <c r="U65" s="1" t="s">
        <v>454</v>
      </c>
      <c r="V65" s="1" t="s">
        <v>455</v>
      </c>
      <c r="W65" s="1" t="s">
        <v>471</v>
      </c>
      <c r="X65" s="1" t="s">
        <v>122</v>
      </c>
      <c r="Y65" s="1" t="s">
        <v>123</v>
      </c>
      <c r="AA65" s="1" t="s">
        <v>25</v>
      </c>
      <c r="AB65" s="1" t="s">
        <v>533</v>
      </c>
      <c r="AE65" s="1" t="s">
        <v>32</v>
      </c>
      <c r="AG65" s="1">
        <v>16.7724737</v>
      </c>
      <c r="AH65" s="1">
        <v>-62.1942989</v>
      </c>
      <c r="AJ65" s="1" t="s">
        <v>460</v>
      </c>
      <c r="AK65" s="1" t="s">
        <v>27</v>
      </c>
      <c r="AL65" s="1" t="s">
        <v>461</v>
      </c>
      <c r="AO65" s="1" t="s">
        <v>29</v>
      </c>
      <c r="AQ65" s="1" t="s">
        <v>30</v>
      </c>
      <c r="AT65" s="1" t="s">
        <v>534</v>
      </c>
      <c r="AX65" s="1">
        <v>85.0</v>
      </c>
    </row>
    <row r="66">
      <c r="A66" s="9" t="s">
        <v>463</v>
      </c>
      <c r="B66" s="1" t="s">
        <v>32</v>
      </c>
      <c r="C66" s="1" t="s">
        <v>32</v>
      </c>
      <c r="D66" s="1" t="s">
        <v>721</v>
      </c>
      <c r="E66" s="1" t="s">
        <v>32</v>
      </c>
      <c r="F66" s="1" t="s">
        <v>716</v>
      </c>
      <c r="G66" s="1">
        <v>1.0</v>
      </c>
      <c r="H66" s="1" t="s">
        <v>722</v>
      </c>
      <c r="K66" s="3">
        <v>45702.0</v>
      </c>
      <c r="O66" s="1" t="s">
        <v>32</v>
      </c>
      <c r="P66" s="1" t="s">
        <v>433</v>
      </c>
      <c r="Q66" s="1" t="s">
        <v>450</v>
      </c>
      <c r="T66" s="1" t="s">
        <v>453</v>
      </c>
      <c r="U66" s="1" t="s">
        <v>454</v>
      </c>
      <c r="V66" s="1" t="s">
        <v>455</v>
      </c>
      <c r="W66" s="1" t="s">
        <v>456</v>
      </c>
      <c r="X66" s="1" t="s">
        <v>457</v>
      </c>
      <c r="Y66" s="1" t="s">
        <v>458</v>
      </c>
      <c r="AA66" s="1" t="s">
        <v>25</v>
      </c>
      <c r="AB66" s="1" t="s">
        <v>465</v>
      </c>
      <c r="AE66" s="1" t="s">
        <v>32</v>
      </c>
      <c r="AG66" s="1">
        <v>16.7722561</v>
      </c>
      <c r="AH66" s="1">
        <v>-62.194395</v>
      </c>
      <c r="AJ66" s="1" t="s">
        <v>460</v>
      </c>
      <c r="AK66" s="1" t="s">
        <v>27</v>
      </c>
      <c r="AL66" s="1" t="s">
        <v>461</v>
      </c>
      <c r="AM66" s="1">
        <v>10.0</v>
      </c>
      <c r="AO66" s="1" t="s">
        <v>29</v>
      </c>
      <c r="AQ66" s="1" t="s">
        <v>30</v>
      </c>
      <c r="AT66" s="1" t="s">
        <v>466</v>
      </c>
      <c r="AX66" s="1">
        <v>70.0</v>
      </c>
    </row>
    <row r="67">
      <c r="A67" s="9" t="s">
        <v>515</v>
      </c>
      <c r="B67" s="1" t="s">
        <v>32</v>
      </c>
      <c r="C67" s="1" t="s">
        <v>32</v>
      </c>
      <c r="D67" s="1" t="s">
        <v>723</v>
      </c>
      <c r="E67" s="1" t="s">
        <v>32</v>
      </c>
      <c r="F67" s="1" t="s">
        <v>716</v>
      </c>
      <c r="G67" s="1">
        <v>1.0</v>
      </c>
      <c r="H67" s="1">
        <v>33.4</v>
      </c>
      <c r="K67" s="3">
        <v>45702.0</v>
      </c>
      <c r="O67" s="1" t="s">
        <v>32</v>
      </c>
      <c r="P67" s="1" t="s">
        <v>433</v>
      </c>
      <c r="Q67" s="1" t="s">
        <v>450</v>
      </c>
      <c r="T67" s="1" t="s">
        <v>453</v>
      </c>
      <c r="U67" s="1" t="s">
        <v>454</v>
      </c>
      <c r="V67" s="1" t="s">
        <v>455</v>
      </c>
      <c r="W67" s="1" t="s">
        <v>456</v>
      </c>
      <c r="X67" s="1" t="s">
        <v>457</v>
      </c>
      <c r="Y67" s="1" t="s">
        <v>458</v>
      </c>
      <c r="AA67" s="1" t="s">
        <v>25</v>
      </c>
      <c r="AB67" s="1" t="s">
        <v>516</v>
      </c>
      <c r="AE67" s="1" t="s">
        <v>32</v>
      </c>
      <c r="AG67" s="1">
        <v>16.7722558</v>
      </c>
      <c r="AH67" s="1">
        <v>-62.1942722</v>
      </c>
      <c r="AJ67" s="1" t="s">
        <v>460</v>
      </c>
      <c r="AK67" s="1" t="s">
        <v>27</v>
      </c>
      <c r="AL67" s="1" t="s">
        <v>461</v>
      </c>
      <c r="AO67" s="1" t="s">
        <v>29</v>
      </c>
      <c r="AQ67" s="1" t="s">
        <v>30</v>
      </c>
      <c r="AT67" s="1" t="s">
        <v>517</v>
      </c>
      <c r="AX67" s="1">
        <v>81.0</v>
      </c>
    </row>
    <row r="68">
      <c r="A68" s="9" t="s">
        <v>503</v>
      </c>
      <c r="B68" s="1" t="s">
        <v>32</v>
      </c>
      <c r="C68" s="1" t="s">
        <v>32</v>
      </c>
      <c r="D68" s="1" t="s">
        <v>724</v>
      </c>
      <c r="E68" s="1" t="s">
        <v>32</v>
      </c>
      <c r="F68" s="1" t="s">
        <v>716</v>
      </c>
      <c r="G68" s="1">
        <v>1.0</v>
      </c>
      <c r="H68" s="1">
        <v>48.0</v>
      </c>
      <c r="K68" s="3">
        <v>45702.0</v>
      </c>
      <c r="O68" s="1" t="s">
        <v>32</v>
      </c>
      <c r="P68" s="1" t="s">
        <v>335</v>
      </c>
      <c r="Q68" s="1" t="s">
        <v>467</v>
      </c>
      <c r="T68" s="1" t="s">
        <v>453</v>
      </c>
      <c r="U68" s="1" t="s">
        <v>454</v>
      </c>
      <c r="V68" s="1" t="s">
        <v>455</v>
      </c>
      <c r="W68" s="1" t="s">
        <v>471</v>
      </c>
      <c r="X68" s="1" t="s">
        <v>472</v>
      </c>
      <c r="Y68" s="1" t="s">
        <v>473</v>
      </c>
      <c r="AA68" s="1" t="s">
        <v>25</v>
      </c>
      <c r="AB68" s="1" t="s">
        <v>504</v>
      </c>
      <c r="AE68" s="1" t="s">
        <v>32</v>
      </c>
      <c r="AG68" s="1">
        <v>16.7725689</v>
      </c>
      <c r="AH68" s="1">
        <v>-62.1944433</v>
      </c>
      <c r="AJ68" s="1" t="s">
        <v>460</v>
      </c>
      <c r="AK68" s="1" t="s">
        <v>27</v>
      </c>
      <c r="AL68" s="1" t="s">
        <v>461</v>
      </c>
      <c r="AO68" s="1" t="s">
        <v>29</v>
      </c>
      <c r="AQ68" s="1" t="s">
        <v>30</v>
      </c>
      <c r="AT68" s="1" t="s">
        <v>505</v>
      </c>
      <c r="AX68" s="1">
        <v>77.0</v>
      </c>
    </row>
    <row r="69">
      <c r="A69" s="9" t="s">
        <v>506</v>
      </c>
      <c r="B69" s="1" t="s">
        <v>32</v>
      </c>
      <c r="C69" s="1" t="s">
        <v>32</v>
      </c>
      <c r="D69" s="1" t="s">
        <v>725</v>
      </c>
      <c r="E69" s="1" t="s">
        <v>32</v>
      </c>
      <c r="F69" s="1" t="s">
        <v>716</v>
      </c>
      <c r="G69" s="1">
        <v>1.0</v>
      </c>
      <c r="H69" s="1" t="s">
        <v>726</v>
      </c>
      <c r="K69" s="3">
        <v>45702.0</v>
      </c>
      <c r="O69" s="1" t="s">
        <v>32</v>
      </c>
      <c r="P69" s="1" t="s">
        <v>433</v>
      </c>
      <c r="Q69" s="1" t="s">
        <v>450</v>
      </c>
      <c r="T69" s="1" t="s">
        <v>453</v>
      </c>
      <c r="U69" s="1" t="s">
        <v>454</v>
      </c>
      <c r="V69" s="1" t="s">
        <v>455</v>
      </c>
      <c r="W69" s="1" t="s">
        <v>456</v>
      </c>
      <c r="X69" s="1" t="s">
        <v>457</v>
      </c>
      <c r="Y69" s="1" t="s">
        <v>458</v>
      </c>
      <c r="AA69" s="1" t="s">
        <v>25</v>
      </c>
      <c r="AB69" s="1" t="s">
        <v>508</v>
      </c>
      <c r="AE69" s="1" t="s">
        <v>32</v>
      </c>
      <c r="AG69" s="1">
        <v>16.7722398</v>
      </c>
      <c r="AH69" s="1">
        <v>-62.1944006</v>
      </c>
      <c r="AJ69" s="1" t="s">
        <v>460</v>
      </c>
      <c r="AK69" s="1" t="s">
        <v>27</v>
      </c>
      <c r="AL69" s="1" t="s">
        <v>461</v>
      </c>
      <c r="AO69" s="1" t="s">
        <v>29</v>
      </c>
      <c r="AQ69" s="1" t="s">
        <v>30</v>
      </c>
      <c r="AT69" s="1" t="s">
        <v>509</v>
      </c>
      <c r="AX69" s="1">
        <v>79.0</v>
      </c>
    </row>
    <row r="70">
      <c r="A70" s="9" t="s">
        <v>476</v>
      </c>
      <c r="B70" s="1" t="s">
        <v>32</v>
      </c>
      <c r="C70" s="1" t="s">
        <v>32</v>
      </c>
      <c r="D70" s="1" t="s">
        <v>727</v>
      </c>
      <c r="E70" s="1" t="s">
        <v>32</v>
      </c>
      <c r="F70" s="1" t="s">
        <v>716</v>
      </c>
      <c r="G70" s="1">
        <v>1.0</v>
      </c>
      <c r="H70" s="1">
        <v>37.8</v>
      </c>
      <c r="K70" s="3">
        <v>45702.0</v>
      </c>
      <c r="O70" s="1" t="s">
        <v>32</v>
      </c>
      <c r="P70" s="1" t="s">
        <v>433</v>
      </c>
      <c r="Q70" s="1" t="s">
        <v>450</v>
      </c>
      <c r="T70" s="1" t="s">
        <v>453</v>
      </c>
      <c r="U70" s="1" t="s">
        <v>454</v>
      </c>
      <c r="V70" s="1" t="s">
        <v>455</v>
      </c>
      <c r="W70" s="1" t="s">
        <v>456</v>
      </c>
      <c r="X70" s="1" t="s">
        <v>457</v>
      </c>
      <c r="Y70" s="1" t="s">
        <v>458</v>
      </c>
      <c r="AA70" s="1" t="s">
        <v>25</v>
      </c>
      <c r="AB70" s="1" t="s">
        <v>477</v>
      </c>
      <c r="AE70" s="1" t="s">
        <v>32</v>
      </c>
      <c r="AG70" s="1">
        <v>16.7723791</v>
      </c>
      <c r="AH70" s="1">
        <v>-62.1945027</v>
      </c>
      <c r="AJ70" s="1" t="s">
        <v>460</v>
      </c>
      <c r="AK70" s="1" t="s">
        <v>27</v>
      </c>
      <c r="AL70" s="1" t="s">
        <v>461</v>
      </c>
      <c r="AM70" s="1">
        <v>6.0</v>
      </c>
      <c r="AO70" s="1" t="s">
        <v>29</v>
      </c>
      <c r="AQ70" s="1" t="s">
        <v>30</v>
      </c>
      <c r="AT70" s="1" t="s">
        <v>478</v>
      </c>
      <c r="AX70" s="1">
        <v>72.0</v>
      </c>
    </row>
    <row r="71">
      <c r="A71" s="9" t="s">
        <v>498</v>
      </c>
      <c r="B71" s="1" t="s">
        <v>32</v>
      </c>
      <c r="C71" s="1" t="s">
        <v>32</v>
      </c>
      <c r="D71" s="1" t="s">
        <v>728</v>
      </c>
      <c r="E71" s="1" t="s">
        <v>32</v>
      </c>
      <c r="F71" s="1" t="s">
        <v>716</v>
      </c>
      <c r="G71" s="1">
        <v>1.0</v>
      </c>
      <c r="H71" s="1" t="s">
        <v>729</v>
      </c>
      <c r="K71" s="3">
        <v>45702.0</v>
      </c>
      <c r="O71" s="1" t="s">
        <v>32</v>
      </c>
      <c r="P71" s="1" t="s">
        <v>78</v>
      </c>
      <c r="Q71" s="1" t="s">
        <v>497</v>
      </c>
      <c r="T71" s="1" t="s">
        <v>453</v>
      </c>
      <c r="U71" s="1" t="s">
        <v>454</v>
      </c>
      <c r="V71" s="1" t="s">
        <v>455</v>
      </c>
      <c r="W71" s="1" t="s">
        <v>499</v>
      </c>
      <c r="X71" s="1" t="s">
        <v>81</v>
      </c>
      <c r="Y71" s="1" t="s">
        <v>82</v>
      </c>
      <c r="AA71" s="1" t="s">
        <v>25</v>
      </c>
      <c r="AB71" s="1" t="s">
        <v>500</v>
      </c>
      <c r="AE71" s="1" t="s">
        <v>32</v>
      </c>
      <c r="AG71" s="1">
        <v>16.7724675</v>
      </c>
      <c r="AH71" s="1">
        <v>-62.1944356</v>
      </c>
      <c r="AJ71" s="1" t="s">
        <v>460</v>
      </c>
      <c r="AK71" s="1" t="s">
        <v>27</v>
      </c>
      <c r="AL71" s="1" t="s">
        <v>461</v>
      </c>
      <c r="AO71" s="1" t="s">
        <v>29</v>
      </c>
      <c r="AQ71" s="1" t="s">
        <v>30</v>
      </c>
      <c r="AT71" s="1" t="s">
        <v>501</v>
      </c>
      <c r="AX71" s="1">
        <v>76.0</v>
      </c>
    </row>
    <row r="72">
      <c r="A72" s="9" t="s">
        <v>550</v>
      </c>
      <c r="B72" s="1" t="s">
        <v>32</v>
      </c>
      <c r="C72" s="1" t="s">
        <v>32</v>
      </c>
      <c r="D72" s="1" t="s">
        <v>730</v>
      </c>
      <c r="E72" s="1" t="s">
        <v>32</v>
      </c>
      <c r="F72" s="1" t="s">
        <v>716</v>
      </c>
      <c r="G72" s="1">
        <v>1.0</v>
      </c>
      <c r="H72" s="1">
        <v>12.3</v>
      </c>
      <c r="K72" s="3">
        <v>45702.0</v>
      </c>
      <c r="O72" s="1" t="s">
        <v>32</v>
      </c>
      <c r="P72" s="1" t="s">
        <v>48</v>
      </c>
      <c r="Q72" s="1" t="s">
        <v>48</v>
      </c>
      <c r="R72" s="1" t="s">
        <v>453</v>
      </c>
      <c r="S72" s="1" t="s">
        <v>453</v>
      </c>
      <c r="AA72" s="1" t="s">
        <v>52</v>
      </c>
      <c r="AB72" s="1" t="s">
        <v>552</v>
      </c>
      <c r="AE72" s="1" t="s">
        <v>32</v>
      </c>
      <c r="AG72" s="1">
        <v>16.7724259</v>
      </c>
      <c r="AH72" s="1">
        <v>-62.1942938</v>
      </c>
      <c r="AJ72" s="1" t="s">
        <v>460</v>
      </c>
      <c r="AK72" s="1" t="s">
        <v>27</v>
      </c>
      <c r="AL72" s="1" t="s">
        <v>461</v>
      </c>
      <c r="AM72" s="1">
        <v>13.0</v>
      </c>
      <c r="AO72" s="1" t="s">
        <v>29</v>
      </c>
      <c r="AQ72" s="1" t="s">
        <v>30</v>
      </c>
      <c r="AT72" s="1" t="s">
        <v>553</v>
      </c>
      <c r="AX72" s="1">
        <v>93.0</v>
      </c>
    </row>
    <row r="73">
      <c r="A73" s="9" t="s">
        <v>540</v>
      </c>
      <c r="B73" s="1" t="s">
        <v>32</v>
      </c>
      <c r="C73" s="1" t="s">
        <v>32</v>
      </c>
      <c r="D73" s="1" t="s">
        <v>731</v>
      </c>
      <c r="E73" s="1" t="s">
        <v>32</v>
      </c>
      <c r="F73" s="1" t="s">
        <v>716</v>
      </c>
      <c r="G73" s="1">
        <v>1.0</v>
      </c>
      <c r="H73" s="1" t="s">
        <v>732</v>
      </c>
      <c r="K73" s="3">
        <v>45702.0</v>
      </c>
      <c r="O73" s="1" t="s">
        <v>32</v>
      </c>
      <c r="P73" s="1" t="s">
        <v>543</v>
      </c>
      <c r="Q73" s="1" t="s">
        <v>544</v>
      </c>
      <c r="T73" s="1" t="s">
        <v>453</v>
      </c>
      <c r="U73" s="1" t="s">
        <v>454</v>
      </c>
      <c r="V73" s="1" t="s">
        <v>455</v>
      </c>
      <c r="W73" s="1" t="s">
        <v>545</v>
      </c>
      <c r="X73" s="1" t="s">
        <v>546</v>
      </c>
      <c r="AA73" s="1" t="s">
        <v>547</v>
      </c>
      <c r="AB73" s="1" t="s">
        <v>548</v>
      </c>
      <c r="AE73" s="1" t="s">
        <v>32</v>
      </c>
      <c r="AG73" s="1">
        <v>16.772499</v>
      </c>
      <c r="AH73" s="1">
        <v>-62.1944328</v>
      </c>
      <c r="AJ73" s="1" t="s">
        <v>460</v>
      </c>
      <c r="AK73" s="1" t="s">
        <v>27</v>
      </c>
      <c r="AL73" s="1" t="s">
        <v>461</v>
      </c>
      <c r="AM73" s="1">
        <v>13.0</v>
      </c>
      <c r="AO73" s="1" t="s">
        <v>29</v>
      </c>
      <c r="AQ73" s="1" t="s">
        <v>30</v>
      </c>
      <c r="AT73" s="1" t="s">
        <v>549</v>
      </c>
      <c r="AX73" s="1">
        <v>92.0</v>
      </c>
    </row>
    <row r="74">
      <c r="A74" s="9" t="s">
        <v>482</v>
      </c>
      <c r="B74" s="1" t="s">
        <v>32</v>
      </c>
      <c r="C74" s="1" t="s">
        <v>32</v>
      </c>
      <c r="D74" s="1" t="s">
        <v>733</v>
      </c>
      <c r="E74" s="1" t="s">
        <v>32</v>
      </c>
      <c r="F74" s="1" t="s">
        <v>716</v>
      </c>
      <c r="G74" s="1">
        <v>1.0</v>
      </c>
      <c r="H74" s="1" t="s">
        <v>734</v>
      </c>
      <c r="K74" s="3">
        <v>45702.0</v>
      </c>
      <c r="O74" s="1" t="s">
        <v>32</v>
      </c>
      <c r="P74" s="1" t="s">
        <v>48</v>
      </c>
      <c r="Q74" s="1" t="s">
        <v>48</v>
      </c>
      <c r="R74" s="1" t="s">
        <v>453</v>
      </c>
      <c r="S74" s="1" t="s">
        <v>453</v>
      </c>
      <c r="AA74" s="1" t="s">
        <v>52</v>
      </c>
      <c r="AB74" s="1" t="s">
        <v>485</v>
      </c>
      <c r="AE74" s="1" t="s">
        <v>32</v>
      </c>
      <c r="AG74" s="1">
        <v>16.7724378</v>
      </c>
      <c r="AH74" s="1">
        <v>-62.1945943</v>
      </c>
      <c r="AJ74" s="1" t="s">
        <v>460</v>
      </c>
      <c r="AK74" s="1" t="s">
        <v>27</v>
      </c>
      <c r="AL74" s="1" t="s">
        <v>461</v>
      </c>
      <c r="AM74" s="1">
        <v>10.0</v>
      </c>
      <c r="AO74" s="1" t="s">
        <v>29</v>
      </c>
      <c r="AQ74" s="1" t="s">
        <v>30</v>
      </c>
      <c r="AT74" s="1" t="s">
        <v>486</v>
      </c>
      <c r="AX74" s="1">
        <v>73.0</v>
      </c>
    </row>
    <row r="75">
      <c r="A75" s="9" t="s">
        <v>511</v>
      </c>
      <c r="B75" s="1" t="s">
        <v>32</v>
      </c>
      <c r="C75" s="1" t="s">
        <v>32</v>
      </c>
      <c r="D75" s="1" t="s">
        <v>735</v>
      </c>
      <c r="E75" s="1" t="s">
        <v>32</v>
      </c>
      <c r="F75" s="1" t="s">
        <v>716</v>
      </c>
      <c r="G75" s="1">
        <v>1.0</v>
      </c>
      <c r="H75" s="1" t="s">
        <v>736</v>
      </c>
      <c r="K75" s="3">
        <v>45702.0</v>
      </c>
      <c r="O75" s="1" t="s">
        <v>32</v>
      </c>
      <c r="P75" s="1" t="s">
        <v>433</v>
      </c>
      <c r="Q75" s="1" t="s">
        <v>450</v>
      </c>
      <c r="T75" s="1" t="s">
        <v>453</v>
      </c>
      <c r="U75" s="1" t="s">
        <v>454</v>
      </c>
      <c r="V75" s="1" t="s">
        <v>455</v>
      </c>
      <c r="W75" s="1" t="s">
        <v>456</v>
      </c>
      <c r="X75" s="1" t="s">
        <v>457</v>
      </c>
      <c r="Y75" s="1" t="s">
        <v>458</v>
      </c>
      <c r="AA75" s="1" t="s">
        <v>25</v>
      </c>
      <c r="AB75" s="1" t="s">
        <v>513</v>
      </c>
      <c r="AE75" s="1" t="s">
        <v>32</v>
      </c>
      <c r="AG75" s="1">
        <v>16.7722689</v>
      </c>
      <c r="AH75" s="1">
        <v>-62.1943701</v>
      </c>
      <c r="AJ75" s="1" t="s">
        <v>460</v>
      </c>
      <c r="AK75" s="1" t="s">
        <v>27</v>
      </c>
      <c r="AL75" s="1" t="s">
        <v>461</v>
      </c>
      <c r="AO75" s="1" t="s">
        <v>29</v>
      </c>
      <c r="AQ75" s="1" t="s">
        <v>30</v>
      </c>
      <c r="AT75" s="1" t="s">
        <v>514</v>
      </c>
      <c r="AX75" s="1">
        <v>80.0</v>
      </c>
    </row>
    <row r="76">
      <c r="A76" s="9" t="s">
        <v>528</v>
      </c>
      <c r="B76" s="1" t="s">
        <v>32</v>
      </c>
      <c r="C76" s="1" t="s">
        <v>32</v>
      </c>
      <c r="D76" s="1" t="s">
        <v>737</v>
      </c>
      <c r="E76" s="1" t="s">
        <v>32</v>
      </c>
      <c r="F76" s="1" t="s">
        <v>716</v>
      </c>
      <c r="G76" s="1">
        <v>1.0</v>
      </c>
      <c r="H76" s="1">
        <v>52.3</v>
      </c>
      <c r="K76" s="3">
        <v>45702.0</v>
      </c>
      <c r="O76" s="1" t="s">
        <v>32</v>
      </c>
      <c r="P76" s="1" t="s">
        <v>433</v>
      </c>
      <c r="Q76" s="1" t="s">
        <v>450</v>
      </c>
      <c r="T76" s="1" t="s">
        <v>453</v>
      </c>
      <c r="U76" s="1" t="s">
        <v>454</v>
      </c>
      <c r="V76" s="1" t="s">
        <v>455</v>
      </c>
      <c r="W76" s="1" t="s">
        <v>456</v>
      </c>
      <c r="X76" s="1" t="s">
        <v>457</v>
      </c>
      <c r="Y76" s="1" t="s">
        <v>458</v>
      </c>
      <c r="AA76" s="1" t="s">
        <v>25</v>
      </c>
      <c r="AB76" s="1" t="s">
        <v>529</v>
      </c>
      <c r="AE76" s="1" t="s">
        <v>32</v>
      </c>
      <c r="AG76" s="1">
        <v>16.7724137</v>
      </c>
      <c r="AH76" s="1">
        <v>-62.1942392</v>
      </c>
      <c r="AJ76" s="1" t="s">
        <v>460</v>
      </c>
      <c r="AK76" s="1" t="s">
        <v>27</v>
      </c>
      <c r="AL76" s="1" t="s">
        <v>461</v>
      </c>
      <c r="AO76" s="1" t="s">
        <v>29</v>
      </c>
      <c r="AQ76" s="1" t="s">
        <v>30</v>
      </c>
      <c r="AT76" s="1" t="s">
        <v>530</v>
      </c>
      <c r="AX76" s="1">
        <v>84.0</v>
      </c>
    </row>
    <row r="77">
      <c r="A77" s="9" t="s">
        <v>524</v>
      </c>
      <c r="B77" s="1" t="s">
        <v>32</v>
      </c>
      <c r="C77" s="1" t="s">
        <v>32</v>
      </c>
      <c r="D77" s="1" t="s">
        <v>738</v>
      </c>
      <c r="E77" s="1" t="s">
        <v>32</v>
      </c>
      <c r="F77" s="1" t="s">
        <v>716</v>
      </c>
      <c r="G77" s="1">
        <v>1.0</v>
      </c>
      <c r="H77" s="1" t="s">
        <v>50</v>
      </c>
      <c r="K77" s="3">
        <v>45702.0</v>
      </c>
      <c r="O77" s="1" t="s">
        <v>32</v>
      </c>
      <c r="P77" s="1" t="s">
        <v>335</v>
      </c>
      <c r="Q77" s="1" t="s">
        <v>467</v>
      </c>
      <c r="T77" s="1" t="s">
        <v>453</v>
      </c>
      <c r="U77" s="1" t="s">
        <v>454</v>
      </c>
      <c r="V77" s="1" t="s">
        <v>455</v>
      </c>
      <c r="W77" s="1" t="s">
        <v>471</v>
      </c>
      <c r="X77" s="1" t="s">
        <v>472</v>
      </c>
      <c r="Y77" s="1" t="s">
        <v>473</v>
      </c>
      <c r="AA77" s="1" t="s">
        <v>25</v>
      </c>
      <c r="AB77" s="1" t="s">
        <v>525</v>
      </c>
      <c r="AE77" s="1" t="s">
        <v>32</v>
      </c>
      <c r="AG77" s="1">
        <v>16.7724711</v>
      </c>
      <c r="AH77" s="1">
        <v>-62.1943975</v>
      </c>
      <c r="AJ77" s="1" t="s">
        <v>460</v>
      </c>
      <c r="AK77" s="1" t="s">
        <v>27</v>
      </c>
      <c r="AL77" s="1" t="s">
        <v>461</v>
      </c>
      <c r="AO77" s="1" t="s">
        <v>29</v>
      </c>
      <c r="AQ77" s="1" t="s">
        <v>30</v>
      </c>
      <c r="AT77" s="1" t="s">
        <v>526</v>
      </c>
      <c r="AX77" s="1">
        <v>83.0</v>
      </c>
    </row>
    <row r="78">
      <c r="A78" s="9" t="s">
        <v>469</v>
      </c>
      <c r="B78" s="1" t="s">
        <v>32</v>
      </c>
      <c r="C78" s="1" t="s">
        <v>32</v>
      </c>
      <c r="D78" s="1" t="s">
        <v>739</v>
      </c>
      <c r="E78" s="1" t="s">
        <v>32</v>
      </c>
      <c r="F78" s="1" t="s">
        <v>740</v>
      </c>
      <c r="G78" s="1">
        <v>1.0</v>
      </c>
      <c r="H78" s="1" t="s">
        <v>741</v>
      </c>
      <c r="K78" s="3">
        <v>45702.0</v>
      </c>
      <c r="O78" s="1" t="s">
        <v>32</v>
      </c>
      <c r="P78" s="1" t="s">
        <v>335</v>
      </c>
      <c r="Q78" s="1" t="s">
        <v>467</v>
      </c>
      <c r="T78" s="1" t="s">
        <v>453</v>
      </c>
      <c r="U78" s="1" t="s">
        <v>454</v>
      </c>
      <c r="V78" s="1" t="s">
        <v>455</v>
      </c>
      <c r="W78" s="1" t="s">
        <v>471</v>
      </c>
      <c r="X78" s="1" t="s">
        <v>472</v>
      </c>
      <c r="Y78" s="1" t="s">
        <v>473</v>
      </c>
      <c r="AA78" s="1" t="s">
        <v>25</v>
      </c>
      <c r="AB78" s="1" t="s">
        <v>474</v>
      </c>
      <c r="AE78" s="1" t="s">
        <v>32</v>
      </c>
      <c r="AG78" s="1">
        <v>16.7723473</v>
      </c>
      <c r="AH78" s="1">
        <v>-62.1944682</v>
      </c>
      <c r="AJ78" s="1" t="s">
        <v>460</v>
      </c>
      <c r="AK78" s="1" t="s">
        <v>27</v>
      </c>
      <c r="AL78" s="1" t="s">
        <v>461</v>
      </c>
      <c r="AM78" s="1">
        <v>10.0</v>
      </c>
      <c r="AO78" s="1" t="s">
        <v>29</v>
      </c>
      <c r="AQ78" s="1" t="s">
        <v>30</v>
      </c>
      <c r="AT78" s="1" t="s">
        <v>475</v>
      </c>
      <c r="AX78" s="1">
        <v>71.0</v>
      </c>
    </row>
    <row r="79">
      <c r="A79" s="9" t="s">
        <v>489</v>
      </c>
      <c r="B79" s="1" t="s">
        <v>32</v>
      </c>
      <c r="C79" s="1" t="s">
        <v>32</v>
      </c>
      <c r="D79" s="1" t="s">
        <v>742</v>
      </c>
      <c r="E79" s="1" t="s">
        <v>32</v>
      </c>
      <c r="F79" s="1" t="s">
        <v>740</v>
      </c>
      <c r="G79" s="1">
        <v>1.0</v>
      </c>
      <c r="H79" s="1">
        <v>15.6</v>
      </c>
      <c r="K79" s="3">
        <v>45702.0</v>
      </c>
      <c r="O79" s="1" t="s">
        <v>32</v>
      </c>
      <c r="P79" s="1" t="s">
        <v>48</v>
      </c>
      <c r="Q79" s="1" t="s">
        <v>48</v>
      </c>
      <c r="R79" s="1" t="s">
        <v>453</v>
      </c>
      <c r="S79" s="1" t="s">
        <v>453</v>
      </c>
      <c r="AA79" s="1" t="s">
        <v>52</v>
      </c>
      <c r="AB79" s="1" t="s">
        <v>490</v>
      </c>
      <c r="AE79" s="1" t="s">
        <v>32</v>
      </c>
      <c r="AG79" s="1">
        <v>16.7724186</v>
      </c>
      <c r="AH79" s="1">
        <v>-62.1945589</v>
      </c>
      <c r="AJ79" s="1" t="s">
        <v>460</v>
      </c>
      <c r="AK79" s="1" t="s">
        <v>27</v>
      </c>
      <c r="AL79" s="1" t="s">
        <v>461</v>
      </c>
      <c r="AM79" s="1">
        <v>15.0</v>
      </c>
      <c r="AO79" s="1" t="s">
        <v>29</v>
      </c>
      <c r="AQ79" s="1" t="s">
        <v>30</v>
      </c>
      <c r="AT79" s="1" t="s">
        <v>491</v>
      </c>
      <c r="AX79" s="1">
        <v>74.0</v>
      </c>
    </row>
    <row r="80">
      <c r="A80" s="9" t="s">
        <v>536</v>
      </c>
      <c r="B80" s="1" t="s">
        <v>32</v>
      </c>
      <c r="C80" s="1" t="s">
        <v>32</v>
      </c>
      <c r="D80" s="1" t="s">
        <v>743</v>
      </c>
      <c r="E80" s="1" t="s">
        <v>32</v>
      </c>
      <c r="F80" s="1" t="s">
        <v>744</v>
      </c>
      <c r="G80" s="1">
        <v>1.0</v>
      </c>
      <c r="H80" s="1">
        <v>90.9</v>
      </c>
      <c r="K80" s="3">
        <v>45702.0</v>
      </c>
      <c r="O80" s="1" t="s">
        <v>32</v>
      </c>
      <c r="P80" s="1" t="s">
        <v>433</v>
      </c>
      <c r="Q80" s="1" t="s">
        <v>450</v>
      </c>
      <c r="T80" s="1" t="s">
        <v>453</v>
      </c>
      <c r="U80" s="1" t="s">
        <v>454</v>
      </c>
      <c r="V80" s="1" t="s">
        <v>455</v>
      </c>
      <c r="W80" s="1" t="s">
        <v>456</v>
      </c>
      <c r="X80" s="1" t="s">
        <v>457</v>
      </c>
      <c r="Y80" s="1" t="s">
        <v>458</v>
      </c>
      <c r="AA80" s="1" t="s">
        <v>25</v>
      </c>
      <c r="AB80" s="1" t="s">
        <v>537</v>
      </c>
      <c r="AE80" s="1" t="s">
        <v>32</v>
      </c>
      <c r="AG80" s="1">
        <v>16.7723517</v>
      </c>
      <c r="AH80" s="1">
        <v>-62.1942242</v>
      </c>
      <c r="AJ80" s="1" t="s">
        <v>460</v>
      </c>
      <c r="AK80" s="1" t="s">
        <v>27</v>
      </c>
      <c r="AL80" s="1" t="s">
        <v>461</v>
      </c>
      <c r="AO80" s="1" t="s">
        <v>29</v>
      </c>
      <c r="AQ80" s="1" t="s">
        <v>30</v>
      </c>
      <c r="AT80" s="1" t="s">
        <v>538</v>
      </c>
      <c r="AX80" s="1">
        <v>86.0</v>
      </c>
    </row>
    <row r="81">
      <c r="A81" s="9" t="s">
        <v>745</v>
      </c>
      <c r="B81" s="1" t="s">
        <v>32</v>
      </c>
      <c r="C81" s="1" t="s">
        <v>32</v>
      </c>
      <c r="D81" s="1" t="s">
        <v>746</v>
      </c>
      <c r="E81" s="1" t="s">
        <v>32</v>
      </c>
      <c r="F81" s="1" t="s">
        <v>747</v>
      </c>
      <c r="G81" s="1">
        <v>3.0</v>
      </c>
      <c r="K81" s="3">
        <v>45702.0</v>
      </c>
      <c r="O81" s="1" t="s">
        <v>32</v>
      </c>
      <c r="P81" s="1" t="s">
        <v>48</v>
      </c>
      <c r="Q81" s="1" t="s">
        <v>48</v>
      </c>
      <c r="R81" s="1" t="s">
        <v>453</v>
      </c>
      <c r="S81" s="1" t="s">
        <v>453</v>
      </c>
      <c r="AA81" s="1" t="s">
        <v>52</v>
      </c>
      <c r="AB81" s="3">
        <v>45699.0</v>
      </c>
      <c r="AC81" s="3">
        <v>45706.0</v>
      </c>
      <c r="AD81" s="1" t="s">
        <v>748</v>
      </c>
      <c r="AE81" s="1" t="s">
        <v>32</v>
      </c>
      <c r="AG81" s="1">
        <v>16.76888889</v>
      </c>
      <c r="AH81" s="1">
        <v>-62.20630556</v>
      </c>
      <c r="AJ81" s="1" t="s">
        <v>26</v>
      </c>
      <c r="AK81" s="1" t="s">
        <v>27</v>
      </c>
      <c r="AL81" s="1" t="s">
        <v>749</v>
      </c>
      <c r="AN81" s="1" t="s">
        <v>750</v>
      </c>
      <c r="AO81" s="1" t="s">
        <v>29</v>
      </c>
      <c r="AQ81" s="1" t="s">
        <v>30</v>
      </c>
      <c r="AT81" s="1" t="s">
        <v>751</v>
      </c>
      <c r="AV81" s="1" t="s">
        <v>752</v>
      </c>
      <c r="AX81" s="1" t="s">
        <v>753</v>
      </c>
      <c r="AZ81" s="1">
        <v>1000.0</v>
      </c>
    </row>
    <row r="82">
      <c r="A82" s="9" t="s">
        <v>754</v>
      </c>
      <c r="B82" s="1" t="s">
        <v>32</v>
      </c>
      <c r="C82" s="1" t="s">
        <v>32</v>
      </c>
      <c r="D82" s="1" t="s">
        <v>755</v>
      </c>
      <c r="E82" s="1" t="s">
        <v>32</v>
      </c>
      <c r="F82" s="1" t="s">
        <v>756</v>
      </c>
      <c r="H82" s="1" t="s">
        <v>50</v>
      </c>
      <c r="P82" s="1" t="s">
        <v>167</v>
      </c>
      <c r="Q82" s="1" t="s">
        <v>687</v>
      </c>
      <c r="T82" s="1" t="s">
        <v>453</v>
      </c>
      <c r="U82" s="1" t="s">
        <v>454</v>
      </c>
      <c r="V82" s="1" t="s">
        <v>455</v>
      </c>
      <c r="W82" s="1" t="s">
        <v>688</v>
      </c>
      <c r="X82" s="1" t="s">
        <v>90</v>
      </c>
      <c r="Y82" s="1" t="s">
        <v>91</v>
      </c>
      <c r="AA82" s="1" t="s">
        <v>25</v>
      </c>
      <c r="AB82" s="3">
        <v>45699.0</v>
      </c>
      <c r="AC82" s="3">
        <v>45706.0</v>
      </c>
      <c r="AD82" s="1" t="s">
        <v>66</v>
      </c>
      <c r="AE82" s="1" t="s">
        <v>55</v>
      </c>
      <c r="AG82" s="1">
        <v>16.76888889</v>
      </c>
      <c r="AH82" s="1">
        <v>-62.20638889</v>
      </c>
      <c r="AJ82" s="1" t="s">
        <v>26</v>
      </c>
      <c r="AK82" s="1" t="s">
        <v>27</v>
      </c>
      <c r="AL82" s="1" t="s">
        <v>757</v>
      </c>
      <c r="AM82" s="1">
        <v>20.0</v>
      </c>
      <c r="AN82" s="1" t="s">
        <v>68</v>
      </c>
      <c r="AO82" s="1" t="s">
        <v>29</v>
      </c>
      <c r="AQ82" s="1" t="s">
        <v>30</v>
      </c>
      <c r="AT82" s="1" t="s">
        <v>758</v>
      </c>
      <c r="AX82" s="1">
        <v>28.0</v>
      </c>
      <c r="AZ82" s="1">
        <v>0.0</v>
      </c>
    </row>
    <row r="83">
      <c r="A83" s="9" t="s">
        <v>759</v>
      </c>
      <c r="B83" s="1" t="s">
        <v>32</v>
      </c>
      <c r="C83" s="1" t="s">
        <v>32</v>
      </c>
      <c r="D83" s="1" t="s">
        <v>760</v>
      </c>
      <c r="E83" s="1" t="s">
        <v>32</v>
      </c>
      <c r="F83" s="1" t="s">
        <v>761</v>
      </c>
      <c r="P83" s="1" t="s">
        <v>102</v>
      </c>
      <c r="Q83" s="1" t="s">
        <v>103</v>
      </c>
      <c r="T83" s="1" t="s">
        <v>453</v>
      </c>
      <c r="U83" s="1" t="s">
        <v>454</v>
      </c>
      <c r="V83" s="1" t="s">
        <v>455</v>
      </c>
      <c r="W83" s="1" t="s">
        <v>617</v>
      </c>
      <c r="X83" s="1" t="s">
        <v>104</v>
      </c>
      <c r="Y83" s="1" t="s">
        <v>105</v>
      </c>
      <c r="AA83" s="1" t="s">
        <v>25</v>
      </c>
      <c r="AB83" s="3">
        <v>43125.0</v>
      </c>
      <c r="AE83" s="1" t="s">
        <v>32</v>
      </c>
      <c r="AJ83" s="1" t="s">
        <v>26</v>
      </c>
      <c r="AK83" s="1" t="s">
        <v>27</v>
      </c>
      <c r="AL83" s="1" t="s">
        <v>707</v>
      </c>
      <c r="AN83" s="1" t="s">
        <v>68</v>
      </c>
      <c r="AO83" s="1" t="s">
        <v>29</v>
      </c>
      <c r="AS83" s="1" t="s">
        <v>707</v>
      </c>
      <c r="AT83" s="1" t="s">
        <v>708</v>
      </c>
      <c r="AX83" s="1">
        <v>67.0</v>
      </c>
      <c r="AZ83" s="1">
        <v>11.5</v>
      </c>
    </row>
    <row r="84">
      <c r="A84" s="9" t="s">
        <v>762</v>
      </c>
      <c r="B84" s="1" t="s">
        <v>32</v>
      </c>
      <c r="C84" s="1" t="s">
        <v>32</v>
      </c>
      <c r="D84" s="1" t="s">
        <v>763</v>
      </c>
      <c r="E84" s="1" t="s">
        <v>32</v>
      </c>
      <c r="F84" s="1" t="s">
        <v>761</v>
      </c>
      <c r="P84" s="1" t="s">
        <v>102</v>
      </c>
      <c r="Q84" s="1" t="s">
        <v>103</v>
      </c>
      <c r="T84" s="1" t="s">
        <v>453</v>
      </c>
      <c r="U84" s="1" t="s">
        <v>454</v>
      </c>
      <c r="V84" s="1" t="s">
        <v>455</v>
      </c>
      <c r="W84" s="1" t="s">
        <v>617</v>
      </c>
      <c r="X84" s="1" t="s">
        <v>104</v>
      </c>
      <c r="Y84" s="1" t="s">
        <v>105</v>
      </c>
      <c r="AA84" s="1" t="s">
        <v>25</v>
      </c>
      <c r="AB84" s="3">
        <v>43125.0</v>
      </c>
      <c r="AE84" s="1" t="s">
        <v>32</v>
      </c>
      <c r="AJ84" s="1" t="s">
        <v>26</v>
      </c>
      <c r="AK84" s="1" t="s">
        <v>27</v>
      </c>
      <c r="AL84" s="1" t="s">
        <v>707</v>
      </c>
      <c r="AN84" s="1" t="s">
        <v>68</v>
      </c>
      <c r="AO84" s="1" t="s">
        <v>29</v>
      </c>
      <c r="AS84" s="1" t="s">
        <v>707</v>
      </c>
      <c r="AT84" s="1" t="s">
        <v>708</v>
      </c>
      <c r="AZ84" s="1">
        <v>11.5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